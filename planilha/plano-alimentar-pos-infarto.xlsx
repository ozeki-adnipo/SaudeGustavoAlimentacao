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uidados na Alimentação" sheetId="1" state="visible" r:id="rId1"/>
    <sheet name="Plano Geral - Restaurante" sheetId="2" state="visible" r:id="rId2"/>
    <sheet name="Alimentos e Quantidades" sheetId="3" state="visible" r:id="rId3"/>
    <sheet name="Montar Refeição" sheetId="4" state="visible" r:id="rId4"/>
    <sheet name="Fontes e Referências" sheetId="5" state="visible" r:id="rId5"/>
    <sheet name="Ref_Alimentos" sheetId="6" state="hidden" r:id="rId6"/>
  </sheets>
  <definedNames>
    <definedName name="Lista_CafeDaManha">Ref_Alimentos!$L$2:$L$101</definedName>
    <definedName name="Lista_Almoco">Ref_Alimentos!$M$2:$M$101</definedName>
    <definedName name="Lista_Lanche">Ref_Alimentos!$N$2:$N$101</definedName>
    <definedName name="Lista_Jantar">Ref_Alimentos!$O$2:$O$101</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Arial"/>
      <b val="1"/>
      <color rgb="00FFFFFF"/>
      <sz val="14"/>
    </font>
    <font>
      <name val="Arial"/>
      <b val="1"/>
      <color rgb="00FFFFFF"/>
      <sz val="11"/>
    </font>
    <font>
      <name val="Arial"/>
      <b val="1"/>
      <sz val="10.5"/>
    </font>
    <font>
      <name val="Arial"/>
      <sz val="10.5"/>
    </font>
    <font>
      <name val="Arial"/>
      <b val="1"/>
      <sz val="9"/>
    </font>
    <font>
      <name val="Arial"/>
      <i val="1"/>
      <sz val="9"/>
    </font>
    <font>
      <name val="Arial"/>
      <b val="1"/>
      <color rgb="00FFFFFF"/>
      <sz val="10.5"/>
    </font>
    <font>
      <name val="Arial"/>
      <i val="1"/>
      <sz val="9.5"/>
    </font>
    <font>
      <name val="Arial"/>
      <b val="1"/>
      <color rgb="00000000"/>
      <sz val="9"/>
    </font>
    <font>
      <name val="Arial"/>
      <b val="1"/>
      <color rgb="00C0392B"/>
      <sz val="9"/>
    </font>
    <font>
      <name val="Arial"/>
      <b val="1"/>
      <color rgb="00FFFFFF"/>
      <sz val="9.5"/>
    </font>
    <font>
      <name val="Arial"/>
      <i val="1"/>
      <color rgb="00666666"/>
      <sz val="10"/>
    </font>
    <font>
      <name val="Arial"/>
      <i val="1"/>
      <color rgb="001F4E5F"/>
      <sz val="10"/>
    </font>
    <font>
      <name val="Arial"/>
      <sz val="10"/>
    </font>
    <font>
      <name val="Arial"/>
      <color rgb="001155CC"/>
      <sz val="10"/>
      <u val="single"/>
    </font>
    <font>
      <name val="Arial"/>
      <color rgb="00666666"/>
      <sz val="9"/>
    </font>
  </fonts>
  <fills count="8">
    <fill>
      <patternFill/>
    </fill>
    <fill>
      <patternFill patternType="gray125"/>
    </fill>
    <fill>
      <patternFill patternType="solid">
        <fgColor rgb="001F4E5F"/>
      </patternFill>
    </fill>
    <fill>
      <patternFill patternType="solid">
        <fgColor rgb="00D9E6EC"/>
      </patternFill>
    </fill>
    <fill>
      <patternFill patternType="solid">
        <fgColor rgb="00FCE4D6"/>
      </patternFill>
    </fill>
    <fill>
      <patternFill patternType="solid">
        <fgColor rgb="00C6E0B4"/>
      </patternFill>
    </fill>
    <fill>
      <patternFill patternType="solid">
        <fgColor rgb="00FFE699"/>
      </patternFill>
    </fill>
    <fill>
      <patternFill patternType="solid">
        <fgColor rgb="00F4B6B6"/>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center" indent="1"/>
    </xf>
    <xf numFmtId="0" fontId="2" fillId="2" borderId="1" applyAlignment="1" pivotButton="0" quotePrefix="0" xfId="0">
      <alignment horizontal="center" vertical="center" wrapText="1"/>
    </xf>
    <xf numFmtId="0" fontId="3" fillId="3" borderId="1" applyAlignment="1" pivotButton="0" quotePrefix="0" xfId="0">
      <alignment horizontal="left" vertical="top" wrapText="1"/>
    </xf>
    <xf numFmtId="0" fontId="4" fillId="0" borderId="1" applyAlignment="1" pivotButton="0" quotePrefix="0" xfId="0">
      <alignment horizontal="left" vertical="top" wrapText="1"/>
    </xf>
    <xf numFmtId="0" fontId="3" fillId="4" borderId="1" applyAlignment="1" pivotButton="0" quotePrefix="0" xfId="0">
      <alignment horizontal="left" vertical="top" wrapText="1"/>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applyAlignment="1" pivotButton="0" quotePrefix="0" xfId="0">
      <alignment horizontal="left" vertical="center" wrapText="1"/>
    </xf>
    <xf numFmtId="0" fontId="7" fillId="2" borderId="1" applyAlignment="1" pivotButton="0" quotePrefix="0" xfId="0">
      <alignment horizontal="left" vertical="center" indent="1"/>
    </xf>
    <xf numFmtId="0" fontId="0" fillId="0" borderId="1" pivotButton="0" quotePrefix="0" xfId="0"/>
    <xf numFmtId="0" fontId="4" fillId="0" borderId="1" applyAlignment="1" pivotButton="0" quotePrefix="0" xfId="0">
      <alignment horizontal="left" vertical="center" wrapText="1" indent="1"/>
    </xf>
    <xf numFmtId="0" fontId="4" fillId="0"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7"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0" applyAlignment="1" pivotButton="0" quotePrefix="0" xfId="0">
      <alignment horizontal="center" vertical="center"/>
    </xf>
    <xf numFmtId="0" fontId="9" fillId="5" borderId="1" applyAlignment="1" pivotButton="0" quotePrefix="0" xfId="0">
      <alignment horizontal="center" vertical="center"/>
    </xf>
    <xf numFmtId="0" fontId="9" fillId="6" borderId="1" applyAlignment="1" pivotButton="0" quotePrefix="0" xfId="0">
      <alignment horizontal="center" vertical="center"/>
    </xf>
    <xf numFmtId="0" fontId="9" fillId="7" borderId="1" applyAlignment="1" pivotButton="0" quotePrefix="0" xfId="0">
      <alignment horizontal="center" vertical="center"/>
    </xf>
    <xf numFmtId="0" fontId="10" fillId="4" borderId="1" applyAlignment="1" pivotButton="0" quotePrefix="0" xfId="0">
      <alignment horizontal="center" vertical="center"/>
    </xf>
    <xf numFmtId="0" fontId="2" fillId="2" borderId="1" applyAlignment="1" pivotButton="0" quotePrefix="0" xfId="0">
      <alignment horizontal="left" vertical="center" indent="1"/>
    </xf>
    <xf numFmtId="0" fontId="11" fillId="2"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indent="1"/>
    </xf>
    <xf numFmtId="0" fontId="12" fillId="0" borderId="1" applyAlignment="1" pivotButton="0" quotePrefix="0" xfId="0">
      <alignment horizontal="left" vertical="center" indent="1"/>
    </xf>
    <xf numFmtId="0" fontId="12" fillId="0" borderId="1" applyAlignment="1" pivotButton="0" quotePrefix="0" xfId="0">
      <alignment horizontal="center" vertical="center" wrapText="1"/>
    </xf>
    <xf numFmtId="0" fontId="3" fillId="0" borderId="1" applyAlignment="1" pivotButton="0" quotePrefix="0" xfId="0">
      <alignment horizontal="center" vertical="center"/>
    </xf>
    <xf numFmtId="0" fontId="13" fillId="0" borderId="1" applyAlignment="1" pivotButton="0" quotePrefix="0" xfId="0">
      <alignment horizontal="left" vertical="center" wrapText="1" indent="1"/>
    </xf>
    <xf numFmtId="0" fontId="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4" fillId="0" borderId="1" applyAlignment="1" pivotButton="0" quotePrefix="0" xfId="0">
      <alignment horizontal="left" vertical="center" wrapText="1" indent="1"/>
    </xf>
    <xf numFmtId="0" fontId="15" fillId="0" borderId="1" applyAlignment="1" pivotButton="0" quotePrefix="0" xfId="0">
      <alignment horizontal="left" vertical="center" wrapText="1" indent="1"/>
    </xf>
    <xf numFmtId="0" fontId="16" fillId="0" borderId="1" applyAlignment="1" pivotButton="0" quotePrefix="0" xfId="0">
      <alignment horizontal="left" vertical="center" wrapText="1" indent="1"/>
    </xf>
  </cellXfs>
  <cellStyles count="1">
    <cellStyle name="Normal" xfId="0" builtinId="0" hidden="0"/>
  </cellStyles>
  <dxfs count="4">
    <dxf>
      <fill>
        <patternFill patternType="solid">
          <fgColor rgb="00C6E0B4"/>
        </patternFill>
      </fill>
    </dxf>
    <dxf>
      <fill>
        <patternFill patternType="solid">
          <fgColor rgb="00FFE699"/>
        </patternFill>
      </fill>
    </dxf>
    <dxf>
      <fill>
        <patternFill patternType="solid">
          <fgColor rgb="00F4B6B6"/>
        </patternFill>
      </fill>
    </dxf>
    <dxf>
      <font>
        <name val="Arial"/>
        <b val="1"/>
        <color rgb="00C0392B"/>
        <sz val="10.5"/>
      </font>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pubmed.ncbi.nlm.nih.gov/23126367/" TargetMode="External" Id="rId1" /><Relationship Type="http://schemas.openxmlformats.org/officeDocument/2006/relationships/hyperlink" Target="https://www.azmed.com.br/content/dam/multibrand/br/pt/azmed-2022/home/bulas-profissionais/bulas/Brilinta_Bula_Profissional.pdf" TargetMode="External" Id="rId2" /><Relationship Type="http://schemas.openxmlformats.org/officeDocument/2006/relationships/hyperlink" Target="https://www.ncbi.nlm.nih.gov/books/NBK557708/" TargetMode="External" Id="rId3" /><Relationship Type="http://schemas.openxmlformats.org/officeDocument/2006/relationships/hyperlink" Target="https://pubmed.ncbi.nlm.nih.gov/10566713/" TargetMode="External" Id="rId4" /><Relationship Type="http://schemas.openxmlformats.org/officeDocument/2006/relationships/hyperlink" Target="https://www.nccih.nih.gov/health/red-yeast-rice" TargetMode="External" Id="rId5" /><Relationship Type="http://schemas.openxmlformats.org/officeDocument/2006/relationships/hyperlink" Target="https://pmc.ncbi.nlm.nih.gov/articles/PMC3589309/" TargetMode="External" Id="rId6" /><Relationship Type="http://schemas.openxmlformats.org/officeDocument/2006/relationships/hyperlink" Target="https://www.acc.org/latest-in-cardiology/ten-points-to-remember/2016/03/25/14/56/2016-acc-aha-guideline-focused-update-on-dapt" TargetMode="External" Id="rId7" /><Relationship Type="http://schemas.openxmlformats.org/officeDocument/2006/relationships/hyperlink" Target="https://www.scielo.br/j/abc/a/tRJrwGzKX6C4GvMqdJpZcGk/?lang=pt" TargetMode="External" Id="rId8" /><Relationship Type="http://schemas.openxmlformats.org/officeDocument/2006/relationships/hyperlink" Target="https://www.heart.org/en/healthy-living/healthy-eating/eat-smart/nutrition-basics/aha-diet-and-lifestyle-recommendations" TargetMode="External" Id="rId9" /><Relationship Type="http://schemas.openxmlformats.org/officeDocument/2006/relationships/hyperlink" Target="https://www.scielo.br/j/abc/a/X94tMKwdnBjkCzVKpXwBqmD/?lang=pt" TargetMode="External" Id="rId10" /><Relationship Type="http://schemas.openxmlformats.org/officeDocument/2006/relationships/hyperlink" Target="https://kdigo.org/wp-content/uploads/2016/10/KDIGO-2012-AKI-Guideline-English.pdf" TargetMode="External" Id="rId11" /><Relationship Type="http://schemas.openxmlformats.org/officeDocument/2006/relationships/hyperlink" Target="https://kdigo.org/wp-content/uploads/2017/02/KDIGO_2012_CKD_GL.pdf" TargetMode="External" Id="rId12" /><Relationship Type="http://schemas.openxmlformats.org/officeDocument/2006/relationships/hyperlink" Target="https://www.esur.org/wp-content/uploads/2022/03/ESUR-Guidelines-10_0-Final-Version.pdf" TargetMode="External" Id="rId13" /><Relationship Type="http://schemas.openxmlformats.org/officeDocument/2006/relationships/hyperlink" Target="https://www.ahajournals.org/doi/10.1161/CIR.0000000000000617" TargetMode="External" Id="rId14" /><Relationship Type="http://schemas.openxmlformats.org/officeDocument/2006/relationships/hyperlink" Target="https://academic.oup.com/eurheartj/article/42/36/3599/6358045" TargetMode="External" Id="rId15" /><Relationship Type="http://schemas.openxmlformats.org/officeDocument/2006/relationships/hyperlink" Target="https://academic.oup.com/eurheartj/article/45/14/1193/7516285" TargetMode="External" Id="rId16" /><Relationship Type="http://schemas.openxmlformats.org/officeDocument/2006/relationships/hyperlink" Target="https://www.ahajournals.org/doi/10.1161/CIR.0000000000001309" TargetMode="External" Id="rId17" /><Relationship Type="http://schemas.openxmlformats.org/officeDocument/2006/relationships/hyperlink" Target="https://www.nejm.org/doi/full/10.1056/NEJMoa1410489" TargetMode="External" Id="rId18" /><Relationship Type="http://schemas.openxmlformats.org/officeDocument/2006/relationships/hyperlink" Target="https://diabetesjournals.org/care/article/49/Supplement_1/S339/163925/16-Diabetes-Care-in-the-Hospital-Standards-of-Care" TargetMode="External" Id="rId19" /><Relationship Type="http://schemas.openxmlformats.org/officeDocument/2006/relationships/hyperlink" Target="https://diretriz.diabetes.org.br/hiperglicemia-hospitalar-em-paciente-nao-critico/" TargetMode="External" Id="rId20" /><Relationship Type="http://schemas.openxmlformats.org/officeDocument/2006/relationships/hyperlink" Target="https://academic.oup.com/eurheartj/article/39/9/763/4095038" TargetMode="External" Id="rId21" /><Relationship Type="http://schemas.openxmlformats.org/officeDocument/2006/relationships/hyperlink" Target="https://www.ahajournals.org/doi/10.1161/STR.0000000000000375" TargetMode="External" Id="rId22" /></Relationships>
</file>

<file path=xl/worksheets/sheet1.xml><?xml version="1.0" encoding="utf-8"?>
<worksheet xmlns="http://schemas.openxmlformats.org/spreadsheetml/2006/main">
  <sheetPr>
    <outlinePr summaryBelow="1" summaryRight="1"/>
    <pageSetUpPr/>
  </sheetPr>
  <dimension ref="A1:B20"/>
  <sheetViews>
    <sheetView showGridLines="0" workbookViewId="0">
      <pane ySplit="2" topLeftCell="A3" activePane="bottomLeft" state="frozen"/>
      <selection pane="bottomLeft" activeCell="A1" sqref="A1"/>
    </sheetView>
  </sheetViews>
  <sheetFormatPr baseColWidth="8" defaultRowHeight="15"/>
  <cols>
    <col width="26" customWidth="1" min="1" max="1"/>
    <col width="95" customWidth="1" min="2" max="2"/>
  </cols>
  <sheetData>
    <row r="1" ht="25.5" customHeight="1">
      <c r="A1" s="1" t="inlineStr">
        <is>
          <t>Cuidados na Alimentação — pós-infarto (25/08/2026)</t>
        </is>
      </c>
    </row>
    <row r="2">
      <c r="A2" s="2" t="inlineStr">
        <is>
          <t>Seção</t>
        </is>
      </c>
      <c r="B2" s="2" t="inlineStr">
        <is>
          <t>Orientação</t>
        </is>
      </c>
    </row>
    <row r="3" ht="36" customHeight="1">
      <c r="A3" s="3" t="inlineStr">
        <is>
          <t>Perfil de risco atual</t>
        </is>
      </c>
      <c r="B3" s="4" t="inlineStr">
        <is>
          <t>Homem, 48 anos, IAM em 25/08/2026 (3 procedimentos). Ecocardiograma de 29/09/2026: dentro da normalidade — FE 60% (Teichholz), sem alteração contrátil segmentar e função diastólica normal (o eco da internação, 26/08, mostrava FE 72% com hipocinesia segmentar leve; os dois valores de FE são normais, acima de 52%). Exames de 01/10/2026, já em uso contínuo dos remédios: LDL 47 (era 138 na internação), HDL 46 (era 34), triglicerídeos 70 (eram 343), colesterol total 108 (era 222) — perfil lipídico dentro das metas. Pontos ainda em aberto: HbA1c 5,9% (faixa de risco aumentado para diabetes) e função renal (creatinina 1,44, TFG 60, proteína na urina — ver 'Aviso pendente — função renal'). Placa carotídea leve (1–15%) já mostra aterosclerose além do evento agudo.</t>
        </is>
      </c>
    </row>
    <row r="4" ht="30" customHeight="1">
      <c r="A4" s="3" t="inlineStr">
        <is>
          <t>Reduzir</t>
        </is>
      </c>
      <c r="B4" s="4" t="inlineStr">
        <is>
          <t>Gordura saturada e gordura trans (frituras, embutidos, carnes gordas, manteiga, produtos industrializados com 'gordura vegetal hidrogenada').</t>
        </is>
      </c>
    </row>
    <row r="5" ht="30" customHeight="1">
      <c r="A5" s="3" t="inlineStr">
        <is>
          <t>Reduzir</t>
        </is>
      </c>
      <c r="B5" s="4" t="inlineStr">
        <is>
          <t>Açúcar e carboidrato refinado — prioridade alta: a HbA1c de 01/10/2026 foi 5,9%, na faixa de 'risco aumentado para diabetes' (5,7 a 6,4%), mesmo patamar de antes do infarto (6,0% em 2022, 5,9% em 2025). Os triglicerídeos normalizaram (343 → 70), mas manter o cuidado: refrigerante comum, doces, pão/arroz/massa branca em excesso.</t>
        </is>
      </c>
    </row>
    <row r="6" ht="30" customHeight="1">
      <c r="A6" s="3" t="inlineStr">
        <is>
          <t>Reduzir</t>
        </is>
      </c>
      <c r="B6" s="4" t="inlineStr">
        <is>
          <t>Sódio — evitar sal em excesso, temperos prontos, embutidos, enlatados e fast-food; ler rótulo (mg de sódio por porção).</t>
        </is>
      </c>
    </row>
    <row r="7" ht="30" customHeight="1">
      <c r="A7" s="3" t="inlineStr">
        <is>
          <t>Reduzir</t>
        </is>
      </c>
      <c r="B7" s="4" t="inlineStr">
        <is>
          <t>Álcool — evitar ou reduzir ao mínimo; álcool piora diretamente os triglicerídeos.</t>
        </is>
      </c>
    </row>
    <row r="8" ht="30" customHeight="1">
      <c r="A8" s="3" t="inlineStr">
        <is>
          <t>Priorizar</t>
        </is>
      </c>
      <c r="B8" s="4" t="inlineStr">
        <is>
          <t>Fibras: grãos integrais, leguminosas (feijão, lentilha, grão-de-bico), vegetais e frutas variadas.</t>
        </is>
      </c>
    </row>
    <row r="9" ht="30" customHeight="1">
      <c r="A9" s="3" t="inlineStr">
        <is>
          <t>Priorizar</t>
        </is>
      </c>
      <c r="B9" s="4" t="inlineStr">
        <is>
          <t>Ômega-3: peixes (preferir 2-3x/semana), azeite de oliva extra virgem, oleaginosas em pequena quantidade (castanhas, nozes).</t>
        </is>
      </c>
    </row>
    <row r="10" ht="30" customHeight="1">
      <c r="A10" s="3" t="inlineStr">
        <is>
          <t>Priorizar</t>
        </is>
      </c>
      <c r="B10" s="4" t="inlineStr">
        <is>
          <t>Proteínas magras: frango sem pele, peixe, ovos, leguminosas; carnes vermelhas com moderação.</t>
        </is>
      </c>
    </row>
    <row r="11" ht="36" customHeight="1">
      <c r="A11" s="3" t="inlineStr">
        <is>
          <t>Atenção especial — triglicerídeos e glicemia</t>
        </is>
      </c>
      <c r="B11" s="4" t="inlineStr">
        <is>
          <t>Triglicerídeos caíram de 343 mg/dL (internação) para 70 mg/dL (01/10/2026) — normal. Esse resultado vem da combinação remédio + dieta, então a orientação continua a mesma para não perdê-lo. Agora o motivo principal para segurar açúcar e carboidrato refinado é a glicemia: HbA1c 5,9% (risco aumentado para diabetes; glicose de jejum 92, normal). Continuar evitando refrigerante comum, suco industrializado e doces, e bebida alcoólica quase por completo (também por causa da dupla antiagregação). Perguntar ao médico se ele considera pré-diabetes e quando repetir a HbA1c.</t>
        </is>
      </c>
    </row>
    <row r="12" ht="63.75" customHeight="1">
      <c r="A12" s="3" t="inlineStr">
        <is>
          <t>Atenção especial — LDL</t>
        </is>
      </c>
      <c r="B12" s="4" t="inlineStr">
        <is>
          <t>Resultado de 01/10/2026: LDL 47 mg/dL (era 138 na internação), já em uso de Rosucor + Ezetimiba. A meta pós-IAM varia por diretriz: &lt;50 mg/dL (SBC, risco muito alto — a tabela de metas do próprio laudo segue a diretriz SBC 2025) e &lt;55 mg/dL (ESC/EAS 2019, risco muito alto) — as duas já atingidas. Só estaria acima da meta se o médico usar &lt;40 mg/dL, da categoria 'risco extremo' da SBC 2025 (exige critérios adicionais) — pergunte ao médico qual meta ele está usando. A combinação estatina (Rosucor) + Ezetimiba já prescrita é sustentada pelo estudo IMPROVE-IT (LDL médio de 53,7 mg/dL com a combinação, vs. 69,5 mg/dL só com estatina, e menos eventos cardiovasculares). Fontes na aba 'Fontes e Referências'.</t>
        </is>
      </c>
    </row>
    <row r="13" ht="78" customHeight="1">
      <c r="A13" s="5" t="inlineStr">
        <is>
          <t>Aviso pendente — função renal</t>
        </is>
      </c>
      <c r="B13" s="4" t="inlineStr">
        <is>
          <t>Exames de 01/10/2026 (cerca de 4 semanas após a alta): creatinina 1,44 mg/dL e TFG 60 — melhorou pouco em relação à alta (1,50 / 57), mas continua acima do seu valor de antes do infarto (1,05 em 2022, 1,12 em 2025). Ou seja, não se resolveu no prazo de 7-14 dias que a ESUR descreve para lesão renal por contraste. Parte dessa elevação pode ser efeito esperado do Enalapril (a diretriz ESC 2021 tolera alta de creatinina de até 50%), mas quem avalia é o médico. Ureia 61 mg/dL, acima da referência (17-48) — pode subir por causa do rim, de desidratação ou de consumo alto de proteína. A urina tipo I deu proteína + — primeiro sinal objetivo do que antes era só suspeita; o exame que confirma e quantifica é a relação albumina/creatinina urinária (ACR/RAC, padrão KDIGO), ainda não feito. A KDIGO só fala em doença renal crônica quando a alteração persiste por mais de 3 meses — por isso o reexame importa. Na internação, a queda de TFG para 57 preencheu o critério objetivo de Lesão Renal Aguda estágio 1 da KDIGO (fórmula aplicada aos números, não diagnóstico médico). Orientação: o plano continua SEM restrição renal formal (sódio/potássio/proteína), mas, por cautela, não exagerar em proteína — evitar suplementos tipo whey e dietas hiperproteicas — até o médico avaliar. Revisar esta aba assim que o médico se posicionar.</t>
        </is>
      </c>
    </row>
    <row r="14" ht="49.5" customHeight="1">
      <c r="A14" s="5" t="inlineStr">
        <is>
          <t>Medicações em uso (receita 03/09/2026)</t>
        </is>
      </c>
      <c r="B14" s="4" t="inlineStr">
        <is>
          <t>Aspirina Prevent 100mg (1x/dia, almoço) e Ticagrelor 90mg (12/12h, por 1 ano) — antiagregantes plaquetários; Rosucor (rosuvastatina) 20mg, 2 comprimidos 1x/dia, e Ezetimiba 10mg 1x/dia — colesterol; Maleato de Enalapril 5mg 12/12h — coração/pressão (médico alertou para cuidado com pressão baixa). Todas de uso contínuo — não interromper sem falar com o cardiologista, em especial a dupla Aspirina + Ticagrelor (risco de trombose no stent).</t>
        </is>
      </c>
    </row>
    <row r="15" ht="63.75" customHeight="1">
      <c r="A15" s="5" t="inlineStr">
        <is>
          <t>Interação medicamentosa — Ticagrelor</t>
        </is>
      </c>
      <c r="B15" s="4" t="inlineStr">
        <is>
          <t>Toranja/grapefruit (fruta ou suco) inibe uma enzima do fígado (CYP3A4) que ajuda a metabolizar o Ticagrelor. Um estudo publicado mostrou quase o dobro do nível do remédio no sangue com suco em grande quantidade; a própria bula brasileira do Brilinta cita esse estudo e diz que não é esperado ser 'clinicamente relevante para a maioria dos pacientes' — mas recomenda evitar. Como você toma 2 antiagregantes juntos, a orientação mais segura é evitar toranja/grapefruit. Fontes: aba 'Fontes e Referências', linhas 1-2.</t>
        </is>
      </c>
    </row>
    <row r="16" ht="63.75" customHeight="1">
      <c r="A16" s="5" t="inlineStr">
        <is>
          <t>Interação medicamentosa — Enalapril</t>
        </is>
      </c>
      <c r="B16" s="4" t="inlineStr">
        <is>
          <t>Enalapril pode elevar o potássio do sangue (reduz a aldosterona). Evitar sal light/substitutos de sal (ricos em cloreto de potássio) e suplementos de potássio sem orientação médica — risco bem documentado de hipercalemia. Na alta, potássio 4,9 e creatinina 1,50; no reexame de 01/10/2026, potássio 4,7 e creatinina 1,44 — os dois dentro da faixa considerada tolerável por uma diretriz de insuficiência cardíaca (ESC 2021) para manter o Enalapril. Continuar evitando sal light. Fontes: aba 'Fontes e Referências', linha 3 (Enalapril) e 15 (limiares ESC).</t>
        </is>
      </c>
    </row>
    <row r="17" ht="36" customHeight="1">
      <c r="A17" s="5" t="inlineStr">
        <is>
          <t>Interação medicamentosa — Aspirina + Ticagrelor</t>
        </is>
      </c>
      <c r="B17" s="4" t="inlineStr">
        <is>
          <t>A dupla antiagregação (esquema padrão por 1 ano pós-stent, conforme diretriz ACC/AHA) já aumenta o risco de sangramento; estudos mostram que álcool combinado com Aspirina aumenta especificamente o sangramento gastrointestinal alto — reforça a orientação de evitar bebida alcoólica. Fontes: aba 'Fontes e Referências', linhas 4 e 7.</t>
        </is>
      </c>
    </row>
    <row r="18" ht="49.5" customHeight="1">
      <c r="A18" s="5" t="inlineStr">
        <is>
          <t>Interação medicamentosa — Rosucor (estatina)</t>
        </is>
      </c>
      <c r="B18" s="4" t="inlineStr">
        <is>
          <t>Evitar suplementos de 'arroz de levedura vermelha' (red yeast rice): o NIH americano alerta que contêm uma substância quimicamente idêntica a uma estatina e podem somar efeitos colaterais/toxicidade com a Rosucor. Já a toranja/grapefruit NÃO tem interação relevante conhecida com a Rosucor especificamente (ela usa outra via metabólica, CYP2C9) — o motivo de evitar toranja neste plano é o Ticagrelor, não a Rosucor. Fontes: aba 'Fontes e Referências', linhas 5-6.</t>
        </is>
      </c>
    </row>
    <row r="19" ht="49.5" customHeight="1">
      <c r="A19" s="3" t="inlineStr">
        <is>
          <t>Reabilitação cardíaca</t>
        </is>
      </c>
      <c r="B19" s="4" t="inlineStr">
        <is>
          <t>A diretriz mais recente de síndrome coronariana aguda (ACC/AHA/ACEP/NAEMSP/SCAI 2025) recomenda encaminhamento para reabilitação cardíaca com o grau mais forte de recomendação (Classe 1), idealmente ainda na alta — reduz mortalidade, reinfarto e reinternações. Não é sobre alimentação diretamente, mas costuma incluir acompanhamento nutricional; vale perguntar ao médico se já foi encaminhado. Fonte: aba 'Fontes e Referências', linha 17.</t>
        </is>
      </c>
    </row>
    <row r="20" ht="36" customHeight="1">
      <c r="A20" s="3" t="inlineStr">
        <is>
          <t>Leitura de rótulos</t>
        </is>
      </c>
      <c r="B20" s="4" t="inlineStr">
        <is>
          <t>Ao comprar um produto industrializado, olhar sempre: sódio por porção, açúcares totais/adicionados, e a lista de ingredientes procurando 'gordura hidrogenada' ou 'gordura trans'. Prefira produtos com menos ingredientes e sem açúcar adicionado.</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pane ySplit="2" topLeftCell="A3" activePane="bottomLeft" state="frozen"/>
      <selection pane="bottomLeft" activeCell="A1" sqref="A1"/>
    </sheetView>
  </sheetViews>
  <sheetFormatPr baseColWidth="8" defaultRowHeight="15"/>
  <cols>
    <col width="26" customWidth="1" min="1" max="1"/>
    <col width="95" customWidth="1" min="2" max="2"/>
  </cols>
  <sheetData>
    <row r="1" ht="25.5" customHeight="1">
      <c r="A1" s="1" t="inlineStr">
        <is>
          <t>Plano Geral — o que comer, inclusive fora de casa</t>
        </is>
      </c>
    </row>
    <row r="2">
      <c r="A2" s="2" t="inlineStr">
        <is>
          <t>Seção</t>
        </is>
      </c>
      <c r="B2" s="2" t="inlineStr">
        <is>
          <t>Conteúdo</t>
        </is>
      </c>
    </row>
    <row r="3" ht="36" customHeight="1">
      <c r="A3" s="3" t="inlineStr">
        <is>
          <t>Modelo de prato</t>
        </is>
      </c>
      <c r="B3" s="4" t="inlineStr">
        <is>
          <t>1/2 do prato: vegetais e salada (à vontade, tempero simples com azeite/limão). 1/4 do prato: proteína magra grelhada/assada (peixe, frango sem pele, ovo, leguminosas). 1/4 do prato: carboidrato integral (arroz integral, batata-doce, mandioca, pão de forma integral) em porção moderada.</t>
        </is>
      </c>
    </row>
    <row r="4" ht="36" customHeight="1">
      <c r="A4" s="3" t="inlineStr">
        <is>
          <t>O que pedir</t>
        </is>
      </c>
      <c r="B4" s="4" t="inlineStr">
        <is>
          <t>Grelhado, assado ou cozido — sem manteiga extra ou molho cremoso. Peça o molho à parte para controlar a quantidade. Troque frituras por grelhados/assados. Troque refrigerante comum por água ou refrigerante zero. Sobremesa só ocasional e em porção pequena (dividir com alguém, se possível).</t>
        </is>
      </c>
    </row>
    <row r="5" ht="36" customHeight="1">
      <c r="A5" s="3" t="inlineStr">
        <is>
          <t>O que evitar</t>
        </is>
      </c>
      <c r="B5" s="4" t="inlineStr">
        <is>
          <t>Frituras (empanados, milanesas), molhos à base de creme de leite/manteiga, embutidos (bacon, linguiça), pratos 'à parmegiana' ou gratinados com muito queijo, refrigerante comum, sobremesas grandes ou muito açucaradas.</t>
        </is>
      </c>
    </row>
    <row r="6" ht="36" customHeight="1">
      <c r="A6" s="3" t="inlineStr">
        <is>
          <t>Perguntas úteis ao garçom</t>
        </is>
      </c>
      <c r="B6" s="4" t="inlineStr">
        <is>
          <t>"Esse prato pode vir grelhado, sem manteiga extra?" · "O molho leva creme de leite ou manteiga?" · "Dá para trocar a guarnição (fritas/farofa) por salada ou legumes?" · "Tem opção de refrigerante zero ou água com gás?"</t>
        </is>
      </c>
    </row>
    <row r="7" ht="36" customHeight="1">
      <c r="A7" s="3" t="inlineStr">
        <is>
          <t>Exemplos de pratos que funcionam</t>
        </is>
      </c>
      <c r="B7" s="4" t="inlineStr">
        <is>
          <t>Peixe grelhado + legumes salteados + arroz integral. Frango grelhado sem pele + salada variada. Prato de grãos/leguminosas (feijoada de grão-de-bico, saladas com lentilha) + vegetais. Omelete de claras/ovo com legumes + salada.</t>
        </is>
      </c>
    </row>
    <row r="8" ht="36" customHeight="1">
      <c r="A8" s="3" t="inlineStr">
        <is>
          <t>Em festas/eventos</t>
        </is>
      </c>
      <c r="B8" s="4" t="inlineStr">
        <is>
          <t>Priorize proteína grelhada e salada primeiro, para 'preencher' o prato com opções seguras. Álcool: evitar ou limitar ao mínimo por causa dos triglicerídeos. Doces: só uma porção pequena, ocasionalmente.</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1"/>
  <sheetViews>
    <sheetView showGridLines="0" workbookViewId="0">
      <pane ySplit="3" topLeftCell="A4" activePane="bottomLeft" state="frozen"/>
      <selection pane="bottomLeft" activeCell="A1" sqref="A1"/>
    </sheetView>
  </sheetViews>
  <sheetFormatPr baseColWidth="8" defaultRowHeight="15"/>
  <cols>
    <col width="16" customWidth="1" min="1" max="1"/>
    <col width="24" customWidth="1" min="2" max="2"/>
    <col width="14" customWidth="1" min="3" max="3"/>
    <col width="16" customWidth="1" min="4" max="4"/>
    <col width="18" customWidth="1" min="5" max="5"/>
    <col width="15" customWidth="1" min="6" max="6"/>
    <col width="13" customWidth="1" min="7" max="7"/>
    <col width="42" customWidth="1" min="8" max="8"/>
  </cols>
  <sheetData>
    <row r="1" ht="25.5" customHeight="1">
      <c r="A1" s="1" t="inlineStr">
        <is>
          <t>Alimentos e Quantidades — lista de referência</t>
        </is>
      </c>
    </row>
    <row r="2" ht="19.5" customHeight="1">
      <c r="B2" s="6" t="inlineStr">
        <is>
          <t>Liberado</t>
        </is>
      </c>
      <c r="C2" s="7" t="inlineStr">
        <is>
          <t>Moderar</t>
        </is>
      </c>
      <c r="D2" s="8" t="inlineStr">
        <is>
          <t>Evitar</t>
        </is>
      </c>
      <c r="G2" s="9" t="inlineStr">
        <is>
          <t>Gostoso: preencha você mesmo (menu suspenso na coluna)</t>
        </is>
      </c>
    </row>
    <row r="3">
      <c r="A3" s="2" t="inlineStr">
        <is>
          <t>Categoria</t>
        </is>
      </c>
      <c r="B3" s="2" t="inlineStr">
        <is>
          <t>Alimento</t>
        </is>
      </c>
      <c r="C3" s="2" t="inlineStr">
        <is>
          <t>Marca</t>
        </is>
      </c>
      <c r="D3" s="2" t="inlineStr">
        <is>
          <t>Porção</t>
        </is>
      </c>
      <c r="E3" s="2" t="inlineStr">
        <is>
          <t>Frequência</t>
        </is>
      </c>
      <c r="F3" s="2" t="inlineStr">
        <is>
          <t>Classificação</t>
        </is>
      </c>
      <c r="G3" s="2" t="inlineStr">
        <is>
          <t>Gostoso</t>
        </is>
      </c>
      <c r="H3" s="2" t="inlineStr">
        <is>
          <t>Observação</t>
        </is>
      </c>
    </row>
    <row r="4" ht="19.5" customHeight="1">
      <c r="A4" s="10" t="inlineStr">
        <is>
          <t>Frutas</t>
        </is>
      </c>
      <c r="B4" s="11" t="n"/>
      <c r="C4" s="11" t="n"/>
      <c r="D4" s="11" t="n"/>
      <c r="E4" s="11" t="n"/>
      <c r="F4" s="11" t="n"/>
      <c r="G4" s="11" t="n"/>
      <c r="H4" s="11" t="n"/>
    </row>
    <row r="5" ht="49.5" customHeight="1">
      <c r="B5" s="12" t="inlineStr">
        <is>
          <t>Maçã fuji (com casca)</t>
        </is>
      </c>
      <c r="C5" s="13" t="inlineStr"/>
      <c r="D5" s="13" t="inlineStr">
        <is>
          <t>1 unidade</t>
        </is>
      </c>
      <c r="E5" s="13" t="inlineStr">
        <is>
          <t>1x/dia</t>
        </is>
      </c>
      <c r="F5" s="14" t="inlineStr">
        <is>
          <t>Liberado</t>
        </is>
      </c>
      <c r="G5" s="13" t="inlineStr"/>
      <c r="H5" s="12" t="inlineStr">
        <is>
          <t>Vale para maçã em geral, com casca (mais fibra) — Fuji é só um pouco mais doce que outras variedades, sem diferença relevante para o quadro do paciente.</t>
        </is>
      </c>
    </row>
    <row r="6" ht="30" customHeight="1">
      <c r="B6" s="12" t="inlineStr">
        <is>
          <t>Banana</t>
        </is>
      </c>
      <c r="C6" s="13" t="inlineStr"/>
      <c r="D6" s="13" t="inlineStr">
        <is>
          <t>1 unidade</t>
        </is>
      </c>
      <c r="E6" s="13" t="inlineStr">
        <is>
          <t>1x/dia</t>
        </is>
      </c>
      <c r="F6" s="14" t="inlineStr">
        <is>
          <t>Liberado</t>
        </is>
      </c>
      <c r="G6" s="13" t="inlineStr"/>
      <c r="H6" s="12" t="inlineStr"/>
    </row>
    <row r="7" ht="30" customHeight="1">
      <c r="B7" s="12" t="inlineStr">
        <is>
          <t>Uva</t>
        </is>
      </c>
      <c r="C7" s="13" t="inlineStr"/>
      <c r="D7" s="13" t="inlineStr">
        <is>
          <t>200 g</t>
        </is>
      </c>
      <c r="E7" s="13" t="inlineStr">
        <is>
          <t>1x/semana</t>
        </is>
      </c>
      <c r="F7" s="15" t="inlineStr">
        <is>
          <t>Moderar</t>
        </is>
      </c>
      <c r="G7" s="13" t="inlineStr"/>
      <c r="H7" s="12" t="inlineStr">
        <is>
          <t>Mais açúcar que outras frutas</t>
        </is>
      </c>
    </row>
    <row r="8" ht="30" customHeight="1">
      <c r="B8" s="12" t="inlineStr">
        <is>
          <t>Manga</t>
        </is>
      </c>
      <c r="C8" s="13" t="inlineStr"/>
      <c r="D8" s="13" t="inlineStr">
        <is>
          <t>200 g</t>
        </is>
      </c>
      <c r="E8" s="13" t="inlineStr">
        <is>
          <t>1x/semana</t>
        </is>
      </c>
      <c r="F8" s="15" t="inlineStr">
        <is>
          <t>Moderar</t>
        </is>
      </c>
      <c r="G8" s="16" t="inlineStr">
        <is>
          <t>Bom</t>
        </is>
      </c>
      <c r="H8" s="12" t="inlineStr">
        <is>
          <t>Mais açúcar que outras frutas</t>
        </is>
      </c>
    </row>
    <row r="9" ht="30" customHeight="1">
      <c r="B9" s="12" t="inlineStr">
        <is>
          <t>Abacate</t>
        </is>
      </c>
      <c r="C9" s="13" t="inlineStr"/>
      <c r="D9" s="13" t="inlineStr">
        <is>
          <t>2 colheres de sopa</t>
        </is>
      </c>
      <c r="E9" s="13" t="inlineStr">
        <is>
          <t>1x/dia</t>
        </is>
      </c>
      <c r="F9" s="14" t="inlineStr">
        <is>
          <t>Liberado</t>
        </is>
      </c>
      <c r="G9" s="13" t="inlineStr"/>
      <c r="H9" s="12" t="inlineStr">
        <is>
          <t>Gordura boa, mas calórico</t>
        </is>
      </c>
    </row>
    <row r="10" ht="63.75" customHeight="1">
      <c r="B10" s="12" t="inlineStr">
        <is>
          <t>Toranja / grapefruit</t>
        </is>
      </c>
      <c r="C10" s="13" t="inlineStr"/>
      <c r="D10" s="13" t="inlineStr">
        <is>
          <t>-</t>
        </is>
      </c>
      <c r="E10" s="13" t="inlineStr">
        <is>
          <t>evitar</t>
        </is>
      </c>
      <c r="F10" s="17" t="inlineStr">
        <is>
          <t>Evitar</t>
        </is>
      </c>
      <c r="G10" s="13" t="inlineStr"/>
      <c r="H10" s="12" t="inlineStr">
        <is>
          <t>Interage com o Ticagrelor (estudo mostrou quase o dobro do nível do remédio no sangue); a bula diz que não é esperado ser clinicamente relevante p/ a maioria, mas orienta evitar — mais seguro evitar, já que você toma 2 antiagregantes. Ver aba Fontes e Referências.</t>
        </is>
      </c>
    </row>
    <row r="11" ht="19.5" customHeight="1">
      <c r="A11" s="10" t="inlineStr">
        <is>
          <t>Grãos e Cereais</t>
        </is>
      </c>
      <c r="B11" s="11" t="n"/>
      <c r="C11" s="11" t="n"/>
      <c r="D11" s="11" t="n"/>
      <c r="E11" s="11" t="n"/>
      <c r="F11" s="11" t="n"/>
      <c r="G11" s="11" t="n"/>
      <c r="H11" s="11" t="n"/>
    </row>
    <row r="12" ht="30" customHeight="1">
      <c r="B12" s="12" t="inlineStr">
        <is>
          <t>Arroz integral</t>
        </is>
      </c>
      <c r="C12" s="13" t="inlineStr"/>
      <c r="D12" s="13" t="inlineStr">
        <is>
          <t>200 g (cozido)</t>
        </is>
      </c>
      <c r="E12" s="13" t="inlineStr">
        <is>
          <t>quase todo dia</t>
        </is>
      </c>
      <c r="F12" s="14" t="inlineStr">
        <is>
          <t>Liberado</t>
        </is>
      </c>
      <c r="G12" s="13" t="inlineStr"/>
      <c r="H12" s="12" t="inlineStr"/>
    </row>
    <row r="13" ht="30" customHeight="1">
      <c r="B13" s="12" t="inlineStr">
        <is>
          <t>Arroz branco</t>
        </is>
      </c>
      <c r="C13" s="13" t="inlineStr"/>
      <c r="D13" s="13" t="inlineStr">
        <is>
          <t>200 g (cozido)</t>
        </is>
      </c>
      <c r="E13" s="13" t="inlineStr">
        <is>
          <t>2x/semana</t>
        </is>
      </c>
      <c r="F13" s="15" t="inlineStr">
        <is>
          <t>Moderar</t>
        </is>
      </c>
      <c r="G13" s="13" t="inlineStr"/>
      <c r="H13" s="12" t="inlineStr">
        <is>
          <t>Preferir integral no restante da semana</t>
        </is>
      </c>
    </row>
    <row r="14" ht="49.5" customHeight="1">
      <c r="B14" s="12" t="inlineStr">
        <is>
          <t>Aveia integral em flocos</t>
        </is>
      </c>
      <c r="C14" s="13" t="inlineStr">
        <is>
          <t>Quaker</t>
        </is>
      </c>
      <c r="D14" s="13" t="inlineStr">
        <is>
          <t>4 colheres de sopa (~30 g)</t>
        </is>
      </c>
      <c r="E14" s="13" t="inlineStr">
        <is>
          <t>1x/dia</t>
        </is>
      </c>
      <c r="F14" s="14" t="inlineStr">
        <is>
          <t>Liberado</t>
        </is>
      </c>
      <c r="G14" s="13" t="inlineStr"/>
      <c r="H14" s="12" t="inlineStr">
        <is>
          <t>Rótulo real: 110 kcal, 2,8 g de fibra (1,2 g de beta-glucana — a fibra solúvel que ajuda a reduzir o colesterol), sem açúcar adicionado, 0 mg de sódio.</t>
        </is>
      </c>
    </row>
    <row r="15" ht="30" customHeight="1">
      <c r="B15" s="12" t="inlineStr">
        <is>
          <t>Pão de forma integral</t>
        </is>
      </c>
      <c r="C15" s="13" t="inlineStr"/>
      <c r="D15" s="13" t="inlineStr">
        <is>
          <t>2 fatias</t>
        </is>
      </c>
      <c r="E15" s="13" t="inlineStr">
        <is>
          <t>1x/dia</t>
        </is>
      </c>
      <c r="F15" s="14" t="inlineStr">
        <is>
          <t>Liberado</t>
        </is>
      </c>
      <c r="G15" s="13" t="inlineStr"/>
      <c r="H15" s="12" t="inlineStr"/>
    </row>
    <row r="16" ht="63.75" customHeight="1">
      <c r="B16" s="12" t="inlineStr">
        <is>
          <t>Pão francês integral (multigrãos)</t>
        </is>
      </c>
      <c r="C16" s="13" t="inlineStr">
        <is>
          <t>Mambo</t>
        </is>
      </c>
      <c r="D16" s="13" t="inlineStr">
        <is>
          <t>1 unidade (~67 g)</t>
        </is>
      </c>
      <c r="E16" s="13" t="inlineStr">
        <is>
          <t>1x/dia</t>
        </is>
      </c>
      <c r="F16" s="14" t="inlineStr">
        <is>
          <t>Liberado</t>
        </is>
      </c>
      <c r="G16" s="13" t="inlineStr"/>
      <c r="H16" s="12" t="inlineStr">
        <is>
          <t>Rótulo real (porção 50 g/meia unidade): 120 kcal, 208 mg de sódio, 1,6 g de fibras, sem açúcar adicionado. Com centeio, gergelim e linhaça — boa fonte de fibra, mas sódio moderado como a maioria dos pães; contém glúten.</t>
        </is>
      </c>
    </row>
    <row r="17" ht="92" customHeight="1">
      <c r="B17" s="12" t="inlineStr">
        <is>
          <t>Tortilha</t>
        </is>
      </c>
      <c r="C17" s="13" t="inlineStr">
        <is>
          <t>Rap10</t>
        </is>
      </c>
      <c r="D17" s="13" t="inlineStr">
        <is>
          <t>1 unidade (33 g)</t>
        </is>
      </c>
      <c r="E17" s="13" t="inlineStr">
        <is>
          <t>3x/semana</t>
        </is>
      </c>
      <c r="F17" s="15" t="inlineStr">
        <is>
          <t>Moderar</t>
        </is>
      </c>
      <c r="G17" s="13" t="inlineStr"/>
      <c r="H17" s="12" t="inlineStr">
        <is>
          <t>Rótulo real: a porção declarada no rótulo é 40 g (1 tortilha de 33 g + um pedaço), com 120 kcal, 170 mg de sódio, 1,6 g de gordura saturada e 1,2 g de fibras. Para 1 tortilha inteira (33 g), isso equivale a ~99 kcal, 140 mg de sódio, 1,3 g de gordura saturada, 1,0 g de fibra, 0 g de gordura trans e 0,2 g de açúcar adicionado. Comparando dentro desta planilha: 1 pão francês integral tem cerca do dobro do sódio (279 mg) — o ponto de atenção da tortilha é mais a gordura saturada (4,0 g/100 g, acima do típico de uma tortilha simples) do que o sódio. Contém glúten (triticale). Sugestão gerada por IA — confirmar com nutricionista/cardiologista.</t>
        </is>
      </c>
    </row>
    <row r="18" ht="200.25" customHeight="1">
      <c r="B18" s="12" t="inlineStr">
        <is>
          <t>Granola zero açúcar</t>
        </is>
      </c>
      <c r="C18" s="13" t="inlineStr">
        <is>
          <t>Castanha do Bem</t>
        </is>
      </c>
      <c r="D18" s="13" t="inlineStr">
        <is>
          <t>20 g (1 colher de sopa)</t>
        </is>
      </c>
      <c r="E18" s="13" t="inlineStr">
        <is>
          <t>1x/dia</t>
        </is>
      </c>
      <c r="F18" s="14" t="inlineStr">
        <is>
          <t>Liberado</t>
        </is>
      </c>
      <c r="G18" s="13" t="inlineStr"/>
      <c r="H18" s="12" t="inlineStr">
        <is>
          <t>Rótulo real (porção 20 g): 83 kcal, 2,8 g de gordura (0,9 g saturada), 12 g de carboidrato, 1,1 g de açúcar (zero adicionado, adoçada com esteviol), 3 g de proteína, 2 g de fibra e 19 mg de sódio. Feita com aveia, coco, amêndoa, castanha de caju, castanha do pará e uva-passa — sem açúcar refinado, mas é calórica (415 kcal/100 g) e tem gordura saturada das castanhas/coco: manter na porção indicada, sem repetir a colher. Contém glúten; rótulo declara conter lactose (apesar de não haver laticínio nos ingredientes — provavelmente contaminação cruzada declarada); pode conter amendoim, avelã, centeio, leite, macadâmia, nozes, ovos, pecã, soja e trigo.</t>
        </is>
      </c>
    </row>
    <row r="19" ht="162" customHeight="1">
      <c r="B19" s="12" t="inlineStr">
        <is>
          <t>Granola zero açúcar</t>
        </is>
      </c>
      <c r="C19" s="13" t="inlineStr">
        <is>
          <t>Mãe Terra</t>
        </is>
      </c>
      <c r="D19" s="13" t="inlineStr">
        <is>
          <t>20 g (1 colher de sopa)</t>
        </is>
      </c>
      <c r="E19" s="13" t="inlineStr">
        <is>
          <t>1x/dia</t>
        </is>
      </c>
      <c r="F19" s="14" t="inlineStr">
        <is>
          <t>Liberado</t>
        </is>
      </c>
      <c r="G19" s="13" t="inlineStr"/>
      <c r="H19" s="12" t="inlineStr">
        <is>
          <t>Rótulo real (a porção do rótulo é 40 g/½ xícara; valores abaixo recalculados para 20 g, para manter a mesma porção das demais granolas da planilha): ~91 kcal, 3,6 g de gordura (0,7 g saturada, 0 g trans), 12 g de carboidrato, 0,3 g de açúcar total e zero adicionado (adoçada com eritritol, maltitol e glicosídeos de esteviol — polióis, geralmente bem tolerados nessa quantidade), 2,2 g de proteína, 1,6 g de fibra, só 1,3 mg de sódio (praticamente sem sódio). Leva castanha-do-pará, castanha-de-caju, coco e óleo vegetal — por isso é calórica (455 kcal/100 g) mesmo sendo zero açúcar: manter a porção, sem repetir a colher. A gordura saturada, por outro lado, é baixa na porção (0,7 g) e menor que a da granola Castanha do Bem. Contém glúten (aveia, flocos de trigo); pode conter diversos alérgenos por contaminação cruzada (amendoim, leite, castanhas variadas, soja).</t>
        </is>
      </c>
    </row>
    <row r="20" ht="19.5" customHeight="1">
      <c r="A20" s="10" t="inlineStr">
        <is>
          <t>Proteínas</t>
        </is>
      </c>
      <c r="B20" s="11" t="n"/>
      <c r="C20" s="11" t="n"/>
      <c r="D20" s="11" t="n"/>
      <c r="E20" s="11" t="n"/>
      <c r="F20" s="11" t="n"/>
      <c r="G20" s="11" t="n"/>
      <c r="H20" s="11" t="n"/>
    </row>
    <row r="21" ht="30" customHeight="1">
      <c r="B21" s="12" t="inlineStr">
        <is>
          <t>Peixe</t>
        </is>
      </c>
      <c r="C21" s="13" t="inlineStr"/>
      <c r="D21" s="13" t="inlineStr">
        <is>
          <t>150 g</t>
        </is>
      </c>
      <c r="E21" s="13" t="inlineStr">
        <is>
          <t>3x/semana</t>
        </is>
      </c>
      <c r="F21" s="14" t="inlineStr">
        <is>
          <t>Liberado</t>
        </is>
      </c>
      <c r="G21" s="13" t="inlineStr"/>
      <c r="H21" s="12" t="inlineStr">
        <is>
          <t>Fonte de ômega-3</t>
        </is>
      </c>
    </row>
    <row r="22" ht="64" customHeight="1">
      <c r="B22" s="12" t="inlineStr">
        <is>
          <t>Sashimi de salmão</t>
        </is>
      </c>
      <c r="C22" s="13" t="inlineStr"/>
      <c r="D22" s="13" t="inlineStr">
        <is>
          <t>150 g (6-8 fatias)</t>
        </is>
      </c>
      <c r="E22" s="13" t="inlineStr">
        <is>
          <t>1-2x/semana</t>
        </is>
      </c>
      <c r="F22" s="14" t="inlineStr">
        <is>
          <t>Liberado</t>
        </is>
      </c>
      <c r="G22" s="13" t="inlineStr"/>
      <c r="H22" s="12" t="inlineStr">
        <is>
          <t>Peixe cru, sem arroz — mesma fonte de ômega-3 do peixe grelhado, conta na mesma cota semanal de peixe. Cuidado é só com o shoyu (molho de soja) do acompanhamento, rico em sódio: usar pouco. Sugestão gerada por IA — confirmar com nutricionista/cardiologista.</t>
        </is>
      </c>
    </row>
    <row r="23" ht="78" customHeight="1">
      <c r="B23" s="12" t="inlineStr">
        <is>
          <t>Sushi de salmão</t>
        </is>
      </c>
      <c r="C23" s="13" t="inlineStr"/>
      <c r="D23" s="13" t="inlineStr">
        <is>
          <t>8-10 peças (nigiri/hossomaki)</t>
        </is>
      </c>
      <c r="E23" s="13" t="inlineStr">
        <is>
          <t>1x/semana</t>
        </is>
      </c>
      <c r="F23" s="15" t="inlineStr">
        <is>
          <t>Moderar</t>
        </is>
      </c>
      <c r="G23" s="13" t="inlineStr"/>
      <c r="H23" s="12" t="inlineStr">
        <is>
          <t>Além do peixe, leva arroz temperado com açúcar/vinagre — mais carboidrato e um pouco de açúcar adicionado que o sashimi puro. Evitar versões com tempurá, cream cheese ou molhos cremosos/apimentados (mais gordura, sódio e calorias); usar pouco shoyu (sódio). Sugestão gerada por IA — confirmar com nutricionista/cardiologista.</t>
        </is>
      </c>
    </row>
    <row r="24" ht="30" customHeight="1">
      <c r="B24" s="12" t="inlineStr">
        <is>
          <t>Frango sem pele</t>
        </is>
      </c>
      <c r="C24" s="13" t="inlineStr"/>
      <c r="D24" s="13" t="inlineStr">
        <is>
          <t>150 g</t>
        </is>
      </c>
      <c r="E24" s="13" t="inlineStr">
        <is>
          <t>quase todo dia</t>
        </is>
      </c>
      <c r="F24" s="14" t="inlineStr">
        <is>
          <t>Liberado</t>
        </is>
      </c>
      <c r="G24" s="13" t="inlineStr"/>
      <c r="H24" s="12" t="inlineStr"/>
    </row>
    <row r="25" ht="30" customHeight="1">
      <c r="B25" s="12" t="inlineStr">
        <is>
          <t>Carne vermelha magra</t>
        </is>
      </c>
      <c r="C25" s="13" t="inlineStr"/>
      <c r="D25" s="13" t="inlineStr">
        <is>
          <t>150 g</t>
        </is>
      </c>
      <c r="E25" s="13" t="inlineStr">
        <is>
          <t>1x/semana</t>
        </is>
      </c>
      <c r="F25" s="15" t="inlineStr">
        <is>
          <t>Moderar</t>
        </is>
      </c>
      <c r="G25" s="13" t="inlineStr"/>
      <c r="H25" s="12" t="inlineStr">
        <is>
          <t>Preferir cortes magros</t>
        </is>
      </c>
    </row>
    <row r="26" ht="30" customHeight="1">
      <c r="B26" s="12" t="inlineStr">
        <is>
          <t>Ovo</t>
        </is>
      </c>
      <c r="C26" s="13" t="inlineStr"/>
      <c r="D26" s="13" t="inlineStr">
        <is>
          <t>1 unidade</t>
        </is>
      </c>
      <c r="E26" s="13" t="inlineStr">
        <is>
          <t>até 5x/semana</t>
        </is>
      </c>
      <c r="F26" s="14" t="inlineStr">
        <is>
          <t>Liberado</t>
        </is>
      </c>
      <c r="G26" s="13" t="inlineStr"/>
      <c r="H26" s="12" t="inlineStr"/>
    </row>
    <row r="27" ht="30" customHeight="1">
      <c r="B27" s="12" t="inlineStr">
        <is>
          <t>Feijão / leguminosas</t>
        </is>
      </c>
      <c r="C27" s="13" t="inlineStr"/>
      <c r="D27" s="13" t="inlineStr">
        <is>
          <t>1 concha</t>
        </is>
      </c>
      <c r="E27" s="13" t="inlineStr">
        <is>
          <t>1x/dia</t>
        </is>
      </c>
      <c r="F27" s="14" t="inlineStr">
        <is>
          <t>Liberado</t>
        </is>
      </c>
      <c r="G27" s="13" t="inlineStr"/>
      <c r="H27" s="12" t="inlineStr"/>
    </row>
    <row r="28" ht="106" customHeight="1">
      <c r="B28" s="12" t="inlineStr">
        <is>
          <t>Kare (curry japonês) com lombo de porco</t>
        </is>
      </c>
      <c r="C28" s="13" t="inlineStr"/>
      <c r="D28" s="13" t="inlineStr">
        <is>
          <t>1 concha (150-200 g do preparo, sem contar o arroz)</t>
        </is>
      </c>
      <c r="E28" s="13" t="inlineStr">
        <is>
          <t>1x/semana</t>
        </is>
      </c>
      <c r="F28" s="15" t="inlineStr">
        <is>
          <t>Moderar</t>
        </is>
      </c>
      <c r="G28" s="13" t="inlineStr"/>
      <c r="H28" s="12" t="inlineStr">
        <is>
          <t>O tablete de curry (roux) pronto costuma ser rico em sódio e conter gordura saturada (geralmente óleo de palma) na sua composição, além de ser espessado com farinha de trigo — é o principal ponto de atenção do prato, não o lombo suíno (corte magro) nem os vegetais (batata, cenoura, cebola). Preferir marcas com menos sódio por porção, se o rótulo estiver disponível. Sugestão gerada por IA — confirmar com nutricionista/cardiologista.</t>
        </is>
      </c>
    </row>
    <row r="29" ht="19.5" customHeight="1">
      <c r="A29" s="10" t="inlineStr">
        <is>
          <t>Laticínios</t>
        </is>
      </c>
      <c r="B29" s="11" t="n"/>
      <c r="C29" s="11" t="n"/>
      <c r="D29" s="11" t="n"/>
      <c r="E29" s="11" t="n"/>
      <c r="F29" s="11" t="n"/>
      <c r="G29" s="11" t="n"/>
      <c r="H29" s="11" t="n"/>
    </row>
    <row r="30" ht="30" customHeight="1">
      <c r="B30" s="12" t="inlineStr">
        <is>
          <t>Leite desnatado</t>
        </is>
      </c>
      <c r="C30" s="13" t="inlineStr"/>
      <c r="D30" s="13" t="inlineStr">
        <is>
          <t>200 ml</t>
        </is>
      </c>
      <c r="E30" s="13" t="inlineStr">
        <is>
          <t>1x/dia</t>
        </is>
      </c>
      <c r="F30" s="14" t="inlineStr">
        <is>
          <t>Liberado</t>
        </is>
      </c>
      <c r="G30" s="13" t="inlineStr"/>
      <c r="H30" s="12" t="inlineStr"/>
    </row>
    <row r="31" ht="49.5" customHeight="1">
      <c r="B31" s="12" t="inlineStr">
        <is>
          <t>Queijo branco frescal</t>
        </is>
      </c>
      <c r="C31" s="13" t="inlineStr"/>
      <c r="D31" s="13" t="inlineStr">
        <is>
          <t>30 g</t>
        </is>
      </c>
      <c r="E31" s="13" t="inlineStr">
        <is>
          <t>3x/semana</t>
        </is>
      </c>
      <c r="F31" s="14" t="inlineStr">
        <is>
          <t>Liberado</t>
        </is>
      </c>
      <c r="G31" s="13" t="inlineStr"/>
      <c r="H31" s="12" t="inlineStr">
        <is>
          <t>Tipo fresco (ex.: Minas frescal), sem cura/salga pesada — bem menos sódio e gordura que queijos curados. Sugestão gerada por IA — confirmar com nutricionista/cardiologista.</t>
        </is>
      </c>
    </row>
    <row r="32" ht="49.5" customHeight="1">
      <c r="B32" s="12" t="inlineStr">
        <is>
          <t>Queijo frescal light</t>
        </is>
      </c>
      <c r="C32" s="13" t="inlineStr">
        <is>
          <t>Polenghi</t>
        </is>
      </c>
      <c r="D32" s="13" t="inlineStr">
        <is>
          <t>30 g (1 fatia)</t>
        </is>
      </c>
      <c r="E32" s="13" t="inlineStr">
        <is>
          <t>3x/semana</t>
        </is>
      </c>
      <c r="F32" s="14" t="inlineStr">
        <is>
          <t>Liberado</t>
        </is>
      </c>
      <c r="G32" s="13" t="inlineStr"/>
      <c r="H32" s="12" t="inlineStr">
        <is>
          <t>Rótulo real: 41 kcal e 105 mg de sódio por porção (bem abaixo de queijos comuns), 1,5 g de gordura saturada, sem açúcar adicionado. Contém lactose; sem glúten; pode conter soja.</t>
        </is>
      </c>
    </row>
    <row r="33" ht="49.5" customHeight="1">
      <c r="B33" s="12" t="inlineStr">
        <is>
          <t>Mussarela</t>
        </is>
      </c>
      <c r="C33" s="13" t="inlineStr"/>
      <c r="D33" s="13" t="inlineStr">
        <is>
          <t>30 g</t>
        </is>
      </c>
      <c r="E33" s="13" t="inlineStr">
        <is>
          <t>2x/semana</t>
        </is>
      </c>
      <c r="F33" s="15" t="inlineStr">
        <is>
          <t>Moderar</t>
        </is>
      </c>
      <c r="G33" s="13" t="inlineStr"/>
      <c r="H33" s="12" t="inlineStr">
        <is>
          <t>Mais gordura saturada e sódio que o queijo branco frescal; prefira o frescal no dia a dia. Sugestão gerada por IA — confirmar com nutricionista/cardiologista.</t>
        </is>
      </c>
    </row>
    <row r="34" ht="30" customHeight="1">
      <c r="B34" s="12" t="inlineStr">
        <is>
          <t>Iogurte natural (desnatado, sem açúcar)</t>
        </is>
      </c>
      <c r="C34" s="13" t="inlineStr"/>
      <c r="D34" s="13" t="inlineStr">
        <is>
          <t>1 unidade</t>
        </is>
      </c>
      <c r="E34" s="13" t="inlineStr">
        <is>
          <t>1x/dia</t>
        </is>
      </c>
      <c r="F34" s="14" t="inlineStr">
        <is>
          <t>Liberado</t>
        </is>
      </c>
      <c r="G34" s="13" t="inlineStr"/>
      <c r="H34" s="12" t="inlineStr">
        <is>
          <t>Prefira sempre a versão sem açúcar adicionado</t>
        </is>
      </c>
    </row>
    <row r="35" ht="49.5" customHeight="1">
      <c r="B35" s="12" t="inlineStr">
        <is>
          <t>Iogurte grego zero</t>
        </is>
      </c>
      <c r="C35" s="13" t="inlineStr">
        <is>
          <t>Vigor</t>
        </is>
      </c>
      <c r="D35" s="13" t="inlineStr">
        <is>
          <t>90 g (1 pote)</t>
        </is>
      </c>
      <c r="E35" s="13" t="inlineStr">
        <is>
          <t>1x/dia</t>
        </is>
      </c>
      <c r="F35" s="14" t="inlineStr">
        <is>
          <t>Liberado</t>
        </is>
      </c>
      <c r="G35" s="13" t="inlineStr"/>
      <c r="H35" s="12" t="inlineStr">
        <is>
          <t>Rótulo real: 50 kcal, 6,8 g de proteína (bem mais que iogurte comum), 0,2 g de gordura, 51 mg de sódio, zero adição de açúcar/gordura, sem lactose. Contém edulcorantes (sucralose e ciclamato).</t>
        </is>
      </c>
    </row>
    <row r="36" ht="36" customHeight="1">
      <c r="B36" s="12" t="inlineStr">
        <is>
          <t>Requeijão</t>
        </is>
      </c>
      <c r="C36" s="13" t="inlineStr"/>
      <c r="D36" s="13" t="inlineStr">
        <is>
          <t>1 colher de sopa (≈15 g)</t>
        </is>
      </c>
      <c r="E36" s="13" t="inlineStr">
        <is>
          <t>2x/semana</t>
        </is>
      </c>
      <c r="F36" s="15" t="inlineStr">
        <is>
          <t>Moderar</t>
        </is>
      </c>
      <c r="G36" s="13" t="inlineStr"/>
      <c r="H36" s="12" t="inlineStr">
        <is>
          <t>Rico em gordura saturada e sódio; prefira a versão light. Sugestão gerada por IA — confirmar com nutricionista/cardiologista.</t>
        </is>
      </c>
    </row>
    <row r="37" ht="134" customHeight="1">
      <c r="B37" s="12" t="inlineStr">
        <is>
          <t>Cream cheese light</t>
        </is>
      </c>
      <c r="C37" s="13" t="inlineStr">
        <is>
          <t>Philadelphia</t>
        </is>
      </c>
      <c r="D37" s="13" t="inlineStr">
        <is>
          <t>1 colher de sopa (30 g)</t>
        </is>
      </c>
      <c r="E37" s="13" t="inlineStr">
        <is>
          <t>2x/semana</t>
        </is>
      </c>
      <c r="F37" s="15" t="inlineStr">
        <is>
          <t>Moderar</t>
        </is>
      </c>
      <c r="G37" s="13" t="inlineStr"/>
      <c r="H37" s="12" t="inlineStr">
        <is>
          <t>Rótulo real (30 g): 63 kcal, 3,5 g de gordura saturada e 0,1 g de gordura trans (mesmo sendo 'light', é bastante gordura saturada para uma porção — quase 30% do limite diário recomendado num plano de 2000 kcal), 115 mg de sódio, 1,1 g de açúcar (sem açúcar adicionado). Ingredientes: leite integral, creme de leite, leite em pó desnatado, sal, fermento lático, espessantes (goma jataí, carragena), conservador sorbato de potássio (não é o mesmo que sal light/cloreto de potássio — sem interação com o Enalapril). Sugestão gerada por IA — confirmar com nutricionista/cardiologista.</t>
        </is>
      </c>
    </row>
    <row r="38" ht="19.5" customHeight="1">
      <c r="A38" s="10" t="inlineStr">
        <is>
          <t>Bebidas</t>
        </is>
      </c>
      <c r="B38" s="11" t="n"/>
      <c r="C38" s="11" t="n"/>
      <c r="D38" s="11" t="n"/>
      <c r="E38" s="11" t="n"/>
      <c r="F38" s="11" t="n"/>
      <c r="G38" s="11" t="n"/>
      <c r="H38" s="11" t="n"/>
    </row>
    <row r="39" ht="30" customHeight="1">
      <c r="B39" s="12" t="inlineStr">
        <is>
          <t>Água</t>
        </is>
      </c>
      <c r="C39" s="13" t="inlineStr"/>
      <c r="D39" s="13" t="inlineStr">
        <is>
          <t>à vontade</t>
        </is>
      </c>
      <c r="E39" s="13" t="inlineStr">
        <is>
          <t>todos os dias</t>
        </is>
      </c>
      <c r="F39" s="14" t="inlineStr">
        <is>
          <t>Liberado</t>
        </is>
      </c>
      <c r="G39" s="13" t="inlineStr"/>
      <c r="H39" s="12" t="inlineStr"/>
    </row>
    <row r="40" ht="30" customHeight="1">
      <c r="B40" s="12" t="inlineStr">
        <is>
          <t>Refrigerante zero</t>
        </is>
      </c>
      <c r="C40" s="13" t="inlineStr"/>
      <c r="D40" s="13" t="inlineStr">
        <is>
          <t>200 ml</t>
        </is>
      </c>
      <c r="E40" s="13" t="inlineStr">
        <is>
          <t>1x/dia</t>
        </is>
      </c>
      <c r="F40" s="15" t="inlineStr">
        <is>
          <t>Moderar</t>
        </is>
      </c>
      <c r="G40" s="13" t="inlineStr"/>
      <c r="H40" s="12" t="inlineStr">
        <is>
          <t>Sugestão gerada por IA — confirmar com nutricionista/cardiologista</t>
        </is>
      </c>
    </row>
    <row r="41" ht="30" customHeight="1">
      <c r="B41" s="12" t="inlineStr">
        <is>
          <t>Café sem açúcar</t>
        </is>
      </c>
      <c r="C41" s="13" t="inlineStr"/>
      <c r="D41" s="13" t="inlineStr">
        <is>
          <t>1 xícara</t>
        </is>
      </c>
      <c r="E41" s="13" t="inlineStr">
        <is>
          <t>2x/dia</t>
        </is>
      </c>
      <c r="F41" s="14" t="inlineStr">
        <is>
          <t>Liberado</t>
        </is>
      </c>
      <c r="G41" s="13" t="inlineStr"/>
      <c r="H41" s="12" t="inlineStr"/>
    </row>
    <row r="42" ht="30" customHeight="1">
      <c r="B42" s="12" t="inlineStr">
        <is>
          <t>Suco natural sem açúcar</t>
        </is>
      </c>
      <c r="C42" s="13" t="inlineStr"/>
      <c r="D42" s="13" t="inlineStr">
        <is>
          <t>200 ml</t>
        </is>
      </c>
      <c r="E42" s="13" t="inlineStr">
        <is>
          <t>3x/semana</t>
        </is>
      </c>
      <c r="F42" s="15" t="inlineStr">
        <is>
          <t>Moderar</t>
        </is>
      </c>
      <c r="G42" s="13" t="inlineStr"/>
      <c r="H42" s="12" t="inlineStr">
        <is>
          <t>Preferir a fruta inteira, que tem mais fibra</t>
        </is>
      </c>
    </row>
    <row r="43" ht="63.75" customHeight="1">
      <c r="B43" s="12" t="inlineStr">
        <is>
          <t>Suco de toranja / grapefruit</t>
        </is>
      </c>
      <c r="C43" s="13" t="inlineStr"/>
      <c r="D43" s="13" t="inlineStr">
        <is>
          <t>-</t>
        </is>
      </c>
      <c r="E43" s="13" t="inlineStr">
        <is>
          <t>evitar</t>
        </is>
      </c>
      <c r="F43" s="17" t="inlineStr">
        <is>
          <t>Evitar</t>
        </is>
      </c>
      <c r="G43" s="13" t="inlineStr"/>
      <c r="H43" s="12" t="inlineStr">
        <is>
          <t>Interage com o Ticagrelor (estudo mostrou quase o dobro do nível do remédio no sangue); a bula diz que não é esperado ser clinicamente relevante p/ a maioria, mas orienta evitar — mais seguro evitar, já que você toma 2 antiagregantes. Ver aba Fontes e Referências.</t>
        </is>
      </c>
    </row>
    <row r="44" ht="36" customHeight="1">
      <c r="B44" s="12" t="inlineStr">
        <is>
          <t>Bebida alcoólica</t>
        </is>
      </c>
      <c r="C44" s="13" t="inlineStr"/>
      <c r="D44" s="13" t="inlineStr">
        <is>
          <t>-</t>
        </is>
      </c>
      <c r="E44" s="13" t="inlineStr">
        <is>
          <t>evitar</t>
        </is>
      </c>
      <c r="F44" s="17" t="inlineStr">
        <is>
          <t>Evitar</t>
        </is>
      </c>
      <c r="G44" s="13" t="inlineStr"/>
      <c r="H44" s="12" t="inlineStr">
        <is>
          <t>Piora diretamente os triglicerídeos; soma-se ao risco de sangramento da Aspirina + Ticagrelor.</t>
        </is>
      </c>
    </row>
    <row r="45" ht="19.5" customHeight="1">
      <c r="A45" s="10" t="inlineStr">
        <is>
          <t>Doces e Sobremesas</t>
        </is>
      </c>
      <c r="B45" s="11" t="n"/>
      <c r="C45" s="11" t="n"/>
      <c r="D45" s="11" t="n"/>
      <c r="E45" s="11" t="n"/>
      <c r="F45" s="11" t="n"/>
      <c r="G45" s="11" t="n"/>
      <c r="H45" s="11" t="n"/>
    </row>
    <row r="46" ht="30" customHeight="1">
      <c r="B46" s="12" t="inlineStr">
        <is>
          <t>Açúcar refinado</t>
        </is>
      </c>
      <c r="C46" s="13" t="inlineStr"/>
      <c r="D46" s="13" t="inlineStr">
        <is>
          <t>-</t>
        </is>
      </c>
      <c r="E46" s="13" t="inlineStr">
        <is>
          <t>evitar</t>
        </is>
      </c>
      <c r="F46" s="17" t="inlineStr">
        <is>
          <t>Evitar</t>
        </is>
      </c>
      <c r="G46" s="13" t="inlineStr"/>
      <c r="H46" s="12" t="inlineStr">
        <is>
          <t>Impacto direto nos triglicerídeos</t>
        </is>
      </c>
    </row>
    <row r="47" ht="30" customHeight="1">
      <c r="B47" s="12" t="inlineStr">
        <is>
          <t>Doces industrializados</t>
        </is>
      </c>
      <c r="C47" s="13" t="inlineStr"/>
      <c r="D47" s="13" t="inlineStr">
        <is>
          <t>-</t>
        </is>
      </c>
      <c r="E47" s="13" t="inlineStr">
        <is>
          <t>evitar</t>
        </is>
      </c>
      <c r="F47" s="17" t="inlineStr">
        <is>
          <t>Evitar</t>
        </is>
      </c>
      <c r="G47" s="13" t="inlineStr"/>
      <c r="H47" s="12" t="inlineStr"/>
    </row>
    <row r="48" ht="30" customHeight="1">
      <c r="B48" s="12" t="inlineStr">
        <is>
          <t>Chocolate amargo (70%+)</t>
        </is>
      </c>
      <c r="C48" s="13" t="inlineStr"/>
      <c r="D48" s="13" t="inlineStr">
        <is>
          <t>10 g</t>
        </is>
      </c>
      <c r="E48" s="13" t="inlineStr">
        <is>
          <t>2x/semana</t>
        </is>
      </c>
      <c r="F48" s="15" t="inlineStr">
        <is>
          <t>Moderar</t>
        </is>
      </c>
      <c r="G48" s="13" t="inlineStr"/>
      <c r="H48" s="12" t="inlineStr">
        <is>
          <t>Sugestão gerada por IA — confirmar com nutricionista/cardiologista</t>
        </is>
      </c>
    </row>
    <row r="49" ht="19.5" customHeight="1">
      <c r="A49" s="10" t="inlineStr">
        <is>
          <t>Gorduras e Temperos</t>
        </is>
      </c>
      <c r="B49" s="11" t="n"/>
      <c r="C49" s="11" t="n"/>
      <c r="D49" s="11" t="n"/>
      <c r="E49" s="11" t="n"/>
      <c r="F49" s="11" t="n"/>
      <c r="G49" s="11" t="n"/>
      <c r="H49" s="11" t="n"/>
    </row>
    <row r="50" ht="30" customHeight="1">
      <c r="B50" s="12" t="inlineStr">
        <is>
          <t>Azeite de oliva extra virgem</t>
        </is>
      </c>
      <c r="C50" s="13" t="inlineStr"/>
      <c r="D50" s="13" t="inlineStr">
        <is>
          <t>1-2 colheres de sopa</t>
        </is>
      </c>
      <c r="E50" s="13" t="inlineStr">
        <is>
          <t>1x/dia</t>
        </is>
      </c>
      <c r="F50" s="14" t="inlineStr">
        <is>
          <t>Liberado</t>
        </is>
      </c>
      <c r="G50" s="13" t="inlineStr"/>
      <c r="H50" s="12" t="inlineStr"/>
    </row>
    <row r="51" ht="30" customHeight="1">
      <c r="B51" s="12" t="inlineStr">
        <is>
          <t>Manteiga</t>
        </is>
      </c>
      <c r="C51" s="13" t="inlineStr"/>
      <c r="D51" s="13" t="inlineStr">
        <is>
          <t>-</t>
        </is>
      </c>
      <c r="E51" s="13" t="inlineStr">
        <is>
          <t>evitar</t>
        </is>
      </c>
      <c r="F51" s="17" t="inlineStr">
        <is>
          <t>Evitar</t>
        </is>
      </c>
      <c r="G51" s="13" t="inlineStr"/>
      <c r="H51" s="12" t="inlineStr">
        <is>
          <t>Preferir azeite</t>
        </is>
      </c>
    </row>
    <row r="52" ht="30" customHeight="1">
      <c r="B52" s="12" t="inlineStr">
        <is>
          <t>Sal</t>
        </is>
      </c>
      <c r="C52" s="13" t="inlineStr"/>
      <c r="D52" s="13" t="inlineStr">
        <is>
          <t>&lt; 5 g no total</t>
        </is>
      </c>
      <c r="E52" s="13" t="inlineStr">
        <is>
          <t>todos os dias</t>
        </is>
      </c>
      <c r="F52" s="15" t="inlineStr">
        <is>
          <t>Moderar</t>
        </is>
      </c>
      <c r="G52" s="13" t="inlineStr"/>
      <c r="H52" s="12" t="inlineStr">
        <is>
          <t>Somar sal de cozinha + industrializados</t>
        </is>
      </c>
    </row>
    <row r="53" ht="78" customHeight="1">
      <c r="B53" s="12" t="inlineStr">
        <is>
          <t>Creme de tahine</t>
        </is>
      </c>
      <c r="C53" s="13" t="inlineStr"/>
      <c r="D53" s="13" t="inlineStr">
        <is>
          <t>1-2 colheres de sopa (receita: 4 col. sopa de tahine, 1 col. sopa de limão, 1 col. sopa de azeite, sal e água)</t>
        </is>
      </c>
      <c r="E53" s="13" t="inlineStr">
        <is>
          <t>3x/semana</t>
        </is>
      </c>
      <c r="F53" s="14" t="inlineStr">
        <is>
          <t>Liberado</t>
        </is>
      </c>
      <c r="G53" s="13" t="inlineStr"/>
      <c r="H53" s="12" t="inlineStr">
        <is>
          <t>Pasta de gergelim (tahine) + azeite: gorduras majoritariamente insaturadas, sem açúcar, boa fonte de cálcio/fibra — combina com o padrão de dieta mediterrânea recomendado. É calórico (rico em gordura), por isso porção moderada; controlar a quantidade de sal adicionado na receita. Sugestão gerada por IA — confirmar com nutricionista/cardiologista.</t>
        </is>
      </c>
    </row>
    <row r="54" ht="36" customHeight="1">
      <c r="B54" s="12" t="inlineStr">
        <is>
          <t>Sal light / substituto de sal (cloreto de potássio)</t>
        </is>
      </c>
      <c r="C54" s="13" t="inlineStr"/>
      <c r="D54" s="13" t="inlineStr">
        <is>
          <t>-</t>
        </is>
      </c>
      <c r="E54" s="13" t="inlineStr">
        <is>
          <t>evitar</t>
        </is>
      </c>
      <c r="F54" s="17" t="inlineStr">
        <is>
          <t>Evitar</t>
        </is>
      </c>
      <c r="G54" s="13" t="inlineStr"/>
      <c r="H54" s="12" t="inlineStr">
        <is>
          <t>Enalapril já tende a elevar o potássio; combinado com esse produto o risco de hipercalemia aumenta, ainda mais com a função renal pendente.</t>
        </is>
      </c>
    </row>
    <row r="55" ht="30" customHeight="1">
      <c r="B55" s="12" t="inlineStr">
        <is>
          <t>Ervas e temperos naturais</t>
        </is>
      </c>
      <c r="C55" s="13" t="inlineStr"/>
      <c r="D55" s="13" t="inlineStr">
        <is>
          <t>à vontade</t>
        </is>
      </c>
      <c r="E55" s="13" t="inlineStr">
        <is>
          <t>todos os dias</t>
        </is>
      </c>
      <c r="F55" s="14" t="inlineStr">
        <is>
          <t>Liberado</t>
        </is>
      </c>
      <c r="G55" s="13" t="inlineStr"/>
      <c r="H55" s="12" t="inlineStr"/>
    </row>
    <row r="56" ht="19.5" customHeight="1">
      <c r="A56" s="10" t="inlineStr">
        <is>
          <t>Vegetais e Verduras</t>
        </is>
      </c>
      <c r="B56" s="11" t="n"/>
      <c r="C56" s="11" t="n"/>
      <c r="D56" s="11" t="n"/>
      <c r="E56" s="11" t="n"/>
      <c r="F56" s="11" t="n"/>
      <c r="G56" s="11" t="n"/>
      <c r="H56" s="11" t="n"/>
    </row>
    <row r="57" ht="36" customHeight="1">
      <c r="B57" s="12" t="inlineStr">
        <is>
          <t>Vegetais e verduras em geral</t>
        </is>
      </c>
      <c r="C57" s="13" t="inlineStr"/>
      <c r="D57" s="13" t="inlineStr">
        <is>
          <t>à vontade</t>
        </is>
      </c>
      <c r="E57" s="13" t="inlineStr">
        <is>
          <t>todos os dias</t>
        </is>
      </c>
      <c r="F57" s="14" t="inlineStr">
        <is>
          <t>Liberado</t>
        </is>
      </c>
      <c r="G57" s="13" t="inlineStr"/>
      <c r="H57" s="12" t="inlineStr">
        <is>
          <t>Se entrar anticoagulante na medicação, revisar consumo de verde-escuros ricos em vitamina K</t>
        </is>
      </c>
    </row>
    <row r="58" ht="36" customHeight="1">
      <c r="B58" s="12" t="inlineStr">
        <is>
          <t>Brócolis</t>
        </is>
      </c>
      <c r="C58" s="13" t="inlineStr"/>
      <c r="D58" s="13" t="inlineStr">
        <is>
          <t>à vontade</t>
        </is>
      </c>
      <c r="E58" s="13" t="inlineStr">
        <is>
          <t>todos os dias</t>
        </is>
      </c>
      <c r="F58" s="14" t="inlineStr">
        <is>
          <t>Liberado</t>
        </is>
      </c>
      <c r="G58" s="13" t="inlineStr"/>
      <c r="H58" s="12" t="inlineStr">
        <is>
          <t>Rico em fibras; combina bem com o padrão de dieta cardioprotetora recomendado.</t>
        </is>
      </c>
    </row>
    <row r="59" ht="36" customHeight="1">
      <c r="B59" s="12" t="inlineStr">
        <is>
          <t>Couve</t>
        </is>
      </c>
      <c r="C59" s="13" t="inlineStr"/>
      <c r="D59" s="13" t="inlineStr">
        <is>
          <t>à vontade</t>
        </is>
      </c>
      <c r="E59" s="13" t="inlineStr">
        <is>
          <t>todos os dias</t>
        </is>
      </c>
      <c r="F59" s="14" t="inlineStr">
        <is>
          <t>Liberado</t>
        </is>
      </c>
      <c r="G59" s="13" t="inlineStr"/>
      <c r="H59" s="12" t="inlineStr">
        <is>
          <t>Folha verde-escura rica em vitamina K — sem impacto hoje (nenhum anticoagulante em uso), mas vale reavaliar se isso mudar no tratamento.</t>
        </is>
      </c>
    </row>
    <row r="60" ht="36" customHeight="1">
      <c r="B60" s="12" t="inlineStr">
        <is>
          <t>Espinafre</t>
        </is>
      </c>
      <c r="C60" s="13" t="inlineStr"/>
      <c r="D60" s="13" t="inlineStr">
        <is>
          <t>à vontade</t>
        </is>
      </c>
      <c r="E60" s="13" t="inlineStr">
        <is>
          <t>todos os dias</t>
        </is>
      </c>
      <c r="F60" s="14" t="inlineStr">
        <is>
          <t>Liberado</t>
        </is>
      </c>
      <c r="G60" s="13" t="inlineStr"/>
      <c r="H60" s="12" t="inlineStr">
        <is>
          <t>Folha verde-escura rica em vitamina K — sem impacto hoje (nenhum anticoagulante em uso), mas vale reavaliar se isso mudar no tratamento.</t>
        </is>
      </c>
    </row>
    <row r="61" ht="30" customHeight="1">
      <c r="B61" s="12" t="inlineStr">
        <is>
          <t>Tomate</t>
        </is>
      </c>
      <c r="C61" s="13" t="inlineStr"/>
      <c r="D61" s="13" t="inlineStr">
        <is>
          <t>à vontade</t>
        </is>
      </c>
      <c r="E61" s="13" t="inlineStr">
        <is>
          <t>todos os dias</t>
        </is>
      </c>
      <c r="F61" s="14" t="inlineStr">
        <is>
          <t>Liberado</t>
        </is>
      </c>
      <c r="G61" s="13" t="inlineStr"/>
      <c r="H61" s="12" t="inlineStr"/>
    </row>
    <row r="62" ht="30" customHeight="1">
      <c r="B62" s="12" t="inlineStr">
        <is>
          <t>Cenoura</t>
        </is>
      </c>
      <c r="C62" s="13" t="inlineStr"/>
      <c r="D62" s="13" t="inlineStr">
        <is>
          <t>à vontade</t>
        </is>
      </c>
      <c r="E62" s="13" t="inlineStr">
        <is>
          <t>todos os dias</t>
        </is>
      </c>
      <c r="F62" s="14" t="inlineStr">
        <is>
          <t>Liberado</t>
        </is>
      </c>
      <c r="G62" s="13" t="inlineStr"/>
      <c r="H62" s="12" t="inlineStr"/>
    </row>
    <row r="63" ht="30" customHeight="1">
      <c r="B63" s="12" t="inlineStr">
        <is>
          <t>Abobrinha</t>
        </is>
      </c>
      <c r="C63" s="13" t="inlineStr"/>
      <c r="D63" s="13" t="inlineStr">
        <is>
          <t>à vontade</t>
        </is>
      </c>
      <c r="E63" s="13" t="inlineStr">
        <is>
          <t>todos os dias</t>
        </is>
      </c>
      <c r="F63" s="14" t="inlineStr">
        <is>
          <t>Liberado</t>
        </is>
      </c>
      <c r="G63" s="13" t="inlineStr"/>
      <c r="H63" s="12" t="inlineStr"/>
    </row>
    <row r="64" ht="30" customHeight="1">
      <c r="B64" s="12" t="inlineStr">
        <is>
          <t>Beterraba</t>
        </is>
      </c>
      <c r="C64" s="13" t="inlineStr"/>
      <c r="D64" s="13" t="inlineStr">
        <is>
          <t>à vontade</t>
        </is>
      </c>
      <c r="E64" s="13" t="inlineStr">
        <is>
          <t>3x/semana</t>
        </is>
      </c>
      <c r="F64" s="14" t="inlineStr">
        <is>
          <t>Liberado</t>
        </is>
      </c>
      <c r="G64" s="13" t="inlineStr"/>
      <c r="H64" s="12" t="inlineStr"/>
    </row>
    <row r="65" ht="30" customHeight="1">
      <c r="B65" s="12" t="inlineStr">
        <is>
          <t>Alface e folhas verdes (rúcula, agrião)</t>
        </is>
      </c>
      <c r="C65" s="13" t="inlineStr"/>
      <c r="D65" s="13" t="inlineStr">
        <is>
          <t>à vontade</t>
        </is>
      </c>
      <c r="E65" s="13" t="inlineStr">
        <is>
          <t>todos os dias</t>
        </is>
      </c>
      <c r="F65" s="14" t="inlineStr">
        <is>
          <t>Liberado</t>
        </is>
      </c>
      <c r="G65" s="13" t="inlineStr"/>
      <c r="H65" s="12" t="inlineStr"/>
    </row>
    <row r="66" ht="30" customHeight="1">
      <c r="B66" s="12" t="inlineStr">
        <is>
          <t>Pepino</t>
        </is>
      </c>
      <c r="C66" s="13" t="inlineStr"/>
      <c r="D66" s="13" t="inlineStr">
        <is>
          <t>à vontade</t>
        </is>
      </c>
      <c r="E66" s="13" t="inlineStr">
        <is>
          <t>todos os dias</t>
        </is>
      </c>
      <c r="F66" s="14" t="inlineStr">
        <is>
          <t>Liberado</t>
        </is>
      </c>
      <c r="G66" s="13" t="inlineStr"/>
      <c r="H66" s="12" t="inlineStr"/>
    </row>
    <row r="67" ht="30" customHeight="1">
      <c r="B67" s="12" t="inlineStr">
        <is>
          <t>Berinjela</t>
        </is>
      </c>
      <c r="C67" s="13" t="inlineStr"/>
      <c r="D67" s="13" t="inlineStr">
        <is>
          <t>à vontade</t>
        </is>
      </c>
      <c r="E67" s="13" t="inlineStr">
        <is>
          <t>3x/semana</t>
        </is>
      </c>
      <c r="F67" s="14" t="inlineStr">
        <is>
          <t>Liberado</t>
        </is>
      </c>
      <c r="G67" s="13" t="inlineStr"/>
      <c r="H67" s="12" t="inlineStr"/>
    </row>
    <row r="68" ht="30" customHeight="1">
      <c r="B68" s="12" t="inlineStr">
        <is>
          <t>Pimentão</t>
        </is>
      </c>
      <c r="C68" s="13" t="inlineStr"/>
      <c r="D68" s="13" t="inlineStr">
        <is>
          <t>à vontade</t>
        </is>
      </c>
      <c r="E68" s="13" t="inlineStr">
        <is>
          <t>todos os dias</t>
        </is>
      </c>
      <c r="F68" s="14" t="inlineStr">
        <is>
          <t>Liberado</t>
        </is>
      </c>
      <c r="G68" s="13" t="inlineStr"/>
      <c r="H68" s="12" t="inlineStr"/>
    </row>
    <row r="69" ht="30" customHeight="1">
      <c r="B69" s="12" t="inlineStr">
        <is>
          <t>Repolho</t>
        </is>
      </c>
      <c r="C69" s="13" t="inlineStr"/>
      <c r="D69" s="13" t="inlineStr">
        <is>
          <t>à vontade</t>
        </is>
      </c>
      <c r="E69" s="13" t="inlineStr">
        <is>
          <t>todos os dias</t>
        </is>
      </c>
      <c r="F69" s="14" t="inlineStr">
        <is>
          <t>Liberado</t>
        </is>
      </c>
      <c r="G69" s="13" t="inlineStr"/>
      <c r="H69" s="12" t="inlineStr"/>
    </row>
    <row r="71" ht="36" customHeight="1">
      <c r="A71" s="18" t="inlineStr">
        <is>
          <t>Lista com os alimentos acrescentados até agora — não é uma lista completa. Use a skill 'adicionar-alimento' (ex.: "adicione sucrilhos") para ir acrescentando novos itens aos poucos. A coluna 'Gostoso' é sua — escolha do menu suspenso; o valor é preservado mesmo quando a planilha é regenerada por um alimento novo.</t>
        </is>
      </c>
    </row>
  </sheetData>
  <mergeCells count="11">
    <mergeCell ref="A45:H45"/>
    <mergeCell ref="A4:H4"/>
    <mergeCell ref="A56:H56"/>
    <mergeCell ref="A29:H29"/>
    <mergeCell ref="G2:H2"/>
    <mergeCell ref="A20:H20"/>
    <mergeCell ref="A38:H38"/>
    <mergeCell ref="A71:H71"/>
    <mergeCell ref="A11:H11"/>
    <mergeCell ref="A49:H49"/>
    <mergeCell ref="A1:H1"/>
  </mergeCells>
  <dataValidations count="1">
    <dataValidation sqref="G5 G6 G7 G8 G9 G10 G12 G13 G14 G15 G16 G17 G18 G19 G21 G22 G23 G24 G25 G26 G27 G28 G30 G31 G32 G33 G34 G35 G36 G37 G39 G40 G41 G42 G43 G44 G46 G47 G48 G50 G51 G52 G53 G54 G55 G57 G58 G59 G60 G61 G62 G63 G64 G65 G66 G67 G68 G69" showDropDown="0" showInputMessage="0" showErrorMessage="1" allowBlank="1" errorTitle="Fora da lista" error="Escolha uma opção do menu (ou deixe em branco)." type="list" errorStyle="warning">
      <formula1>"Ruim,Normal,Bom,Muito bom"</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showGridLines="0" workbookViewId="0">
      <selection activeCell="A1" sqref="A1"/>
    </sheetView>
  </sheetViews>
  <sheetFormatPr baseColWidth="8" defaultRowHeight="15"/>
  <cols>
    <col width="5" customWidth="1" min="1" max="1"/>
    <col width="30" customWidth="1" min="2" max="2"/>
    <col width="16" customWidth="1" min="3" max="3"/>
    <col width="16" customWidth="1" min="4" max="4"/>
    <col width="20" customWidth="1" min="5" max="5"/>
    <col width="14" customWidth="1" min="6" max="6"/>
    <col width="34" customWidth="1" min="7" max="7"/>
    <col width="14" customWidth="1" min="8" max="8"/>
  </cols>
  <sheetData>
    <row r="1" ht="25.5" customHeight="1">
      <c r="A1" s="1" t="inlineStr">
        <is>
          <t>Montar uma Refeição — escolha os alimentos de cada refeição</t>
        </is>
      </c>
    </row>
    <row r="2" ht="48" customHeight="1">
      <c r="A2" s="18" t="inlineStr">
        <is>
          <t>Escolha o alimento no menu suspenso da coluna 'Alimento' — a lista já vem filtrada por refeição (por isso não aparece arroz/feijão no café da manhã, por exemplo) e com os alimentos Liberados primeiro. Categoria, Porção sugerida e Classificação preenchem sozinhas. 'Sugestão' mostra um alimento que costuma combinar bem com o item escolhido logo acima (é uma dica, não é obrigatório escolher). Se 'Conflito' mostrar '⚠ Conflito', evite reunir esses itens na mesma refeição.</t>
        </is>
      </c>
    </row>
    <row r="3" ht="19.5" customHeight="1">
      <c r="A3" s="19" t="inlineStr">
        <is>
          <t>Legenda:</t>
        </is>
      </c>
      <c r="B3" s="20" t="inlineStr">
        <is>
          <t>Liberado</t>
        </is>
      </c>
      <c r="C3" s="21" t="inlineStr">
        <is>
          <t>Moderar</t>
        </is>
      </c>
      <c r="D3" s="22" t="inlineStr">
        <is>
          <t>Evitar</t>
        </is>
      </c>
      <c r="F3" s="23" t="inlineStr">
        <is>
          <t>⚠ Conflito</t>
        </is>
      </c>
    </row>
    <row r="5" ht="19.5" customHeight="1">
      <c r="A5" s="24" t="inlineStr">
        <is>
          <t>CAFÉ DA MANHÃ</t>
        </is>
      </c>
      <c r="B5" s="11" t="n"/>
      <c r="C5" s="11" t="n"/>
      <c r="D5" s="11" t="n"/>
      <c r="E5" s="11" t="n"/>
      <c r="F5" s="11" t="n"/>
      <c r="G5" s="11" t="n"/>
      <c r="H5" s="11" t="n"/>
    </row>
    <row r="6" ht="30" customHeight="1">
      <c r="A6" s="25" t="inlineStr">
        <is>
          <t>Nº</t>
        </is>
      </c>
      <c r="B6" s="25" t="inlineStr">
        <is>
          <t>Alimento</t>
        </is>
      </c>
      <c r="C6" s="25" t="inlineStr">
        <is>
          <t>Categoria</t>
        </is>
      </c>
      <c r="D6" s="25" t="inlineStr">
        <is>
          <t>Porção sugerida</t>
        </is>
      </c>
      <c r="E6" s="25" t="inlineStr">
        <is>
          <t>Quantidade a comer</t>
        </is>
      </c>
      <c r="F6" s="25" t="inlineStr">
        <is>
          <t>Classificação</t>
        </is>
      </c>
      <c r="G6" s="25" t="inlineStr">
        <is>
          <t>Sugestão (com base no item anterior)</t>
        </is>
      </c>
      <c r="H6" s="25" t="inlineStr">
        <is>
          <t>Conflito</t>
        </is>
      </c>
    </row>
    <row r="7" ht="25.5" customHeight="1">
      <c r="A7" s="26" t="n">
        <v>1</v>
      </c>
      <c r="B7" s="27" t="n"/>
      <c r="C7" s="28">
        <f>IFERROR(INDEX(Ref_Alimentos!$B$2:$B$101,MATCH($B7,Ref_Alimentos!$A$2:$A$101,0)),"")</f>
        <v/>
      </c>
      <c r="D7" s="29">
        <f>IFERROR(INDEX(Ref_Alimentos!$D$2:$D$101,MATCH($B7,Ref_Alimentos!$A$2:$A$101,0)),"")</f>
        <v/>
      </c>
      <c r="E7" s="26" t="n"/>
      <c r="F7" s="30">
        <f>IFERROR(INDEX(Ref_Alimentos!$C$2:$C$101,MATCH($B7,Ref_Alimentos!$A$2:$A$101,0)),"")</f>
        <v/>
      </c>
      <c r="G7" s="31" t="inlineStr"/>
      <c r="H7" s="32">
        <f>IF($B7="","",IF($F7="Evitar","⚠ Conflito",IF(AND($F7="Moderar",SUMPRODUCT(($B$7:$B$11&lt;&gt;"")*(ROW($B$7:$B$11)&lt;&gt;ROW($B7))*(($F$7:$F$11="Moderar")+($F$7:$F$11="Evitar")))&gt;0),"⚠ Conflito","")))</f>
        <v/>
      </c>
    </row>
    <row r="8" ht="25.5" customHeight="1">
      <c r="A8" s="26" t="n">
        <v>2</v>
      </c>
      <c r="B8" s="27" t="n"/>
      <c r="C8" s="28">
        <f>IFERROR(INDEX(Ref_Alimentos!$B$2:$B$101,MATCH($B8,Ref_Alimentos!$A$2:$A$101,0)),"")</f>
        <v/>
      </c>
      <c r="D8" s="29">
        <f>IFERROR(INDEX(Ref_Alimentos!$D$2:$D$101,MATCH($B8,Ref_Alimentos!$A$2:$A$101,0)),"")</f>
        <v/>
      </c>
      <c r="E8" s="26" t="n"/>
      <c r="F8" s="30">
        <f>IFERROR(INDEX(Ref_Alimentos!$C$2:$C$101,MATCH($B8,Ref_Alimentos!$A$2:$A$101,0)),"")</f>
        <v/>
      </c>
      <c r="G8" s="31">
        <f>IF($B7="","",IFERROR(INDEX(Ref_Alimentos!$R$2:$R$60,MATCH(IFERROR(INDEX(Ref_Alimentos!$U$2:$U$9,MATCH($C7,Ref_Alimentos!$T$2:$T$9,0)),"")&amp;"|"&amp;"Café da manhã",Ref_Alimentos!$Q$2:$Q$60,0)),""))</f>
        <v/>
      </c>
      <c r="H8" s="32">
        <f>IF($B8="","",IF($F8="Evitar","⚠ Conflito",IF(AND($F8="Moderar",SUMPRODUCT(($B$7:$B$11&lt;&gt;"")*(ROW($B$7:$B$11)&lt;&gt;ROW($B8))*(($F$7:$F$11="Moderar")+($F$7:$F$11="Evitar")))&gt;0),"⚠ Conflito","")))</f>
        <v/>
      </c>
    </row>
    <row r="9" ht="25.5" customHeight="1">
      <c r="A9" s="26" t="n">
        <v>3</v>
      </c>
      <c r="B9" s="27" t="n"/>
      <c r="C9" s="28">
        <f>IFERROR(INDEX(Ref_Alimentos!$B$2:$B$101,MATCH($B9,Ref_Alimentos!$A$2:$A$101,0)),"")</f>
        <v/>
      </c>
      <c r="D9" s="29">
        <f>IFERROR(INDEX(Ref_Alimentos!$D$2:$D$101,MATCH($B9,Ref_Alimentos!$A$2:$A$101,0)),"")</f>
        <v/>
      </c>
      <c r="E9" s="26" t="n"/>
      <c r="F9" s="30">
        <f>IFERROR(INDEX(Ref_Alimentos!$C$2:$C$101,MATCH($B9,Ref_Alimentos!$A$2:$A$101,0)),"")</f>
        <v/>
      </c>
      <c r="G9" s="31">
        <f>IF($B8="","",IFERROR(INDEX(Ref_Alimentos!$R$2:$R$60,MATCH(IFERROR(INDEX(Ref_Alimentos!$U$2:$U$9,MATCH($C8,Ref_Alimentos!$T$2:$T$9,0)),"")&amp;"|"&amp;"Café da manhã",Ref_Alimentos!$Q$2:$Q$60,0)),""))</f>
        <v/>
      </c>
      <c r="H9" s="32">
        <f>IF($B9="","",IF($F9="Evitar","⚠ Conflito",IF(AND($F9="Moderar",SUMPRODUCT(($B$7:$B$11&lt;&gt;"")*(ROW($B$7:$B$11)&lt;&gt;ROW($B9))*(($F$7:$F$11="Moderar")+($F$7:$F$11="Evitar")))&gt;0),"⚠ Conflito","")))</f>
        <v/>
      </c>
    </row>
    <row r="10" ht="25.5" customHeight="1">
      <c r="A10" s="26" t="n">
        <v>4</v>
      </c>
      <c r="B10" s="27" t="n"/>
      <c r="C10" s="28">
        <f>IFERROR(INDEX(Ref_Alimentos!$B$2:$B$101,MATCH($B10,Ref_Alimentos!$A$2:$A$101,0)),"")</f>
        <v/>
      </c>
      <c r="D10" s="29">
        <f>IFERROR(INDEX(Ref_Alimentos!$D$2:$D$101,MATCH($B10,Ref_Alimentos!$A$2:$A$101,0)),"")</f>
        <v/>
      </c>
      <c r="E10" s="26" t="n"/>
      <c r="F10" s="30">
        <f>IFERROR(INDEX(Ref_Alimentos!$C$2:$C$101,MATCH($B10,Ref_Alimentos!$A$2:$A$101,0)),"")</f>
        <v/>
      </c>
      <c r="G10" s="31">
        <f>IF($B9="","",IFERROR(INDEX(Ref_Alimentos!$R$2:$R$60,MATCH(IFERROR(INDEX(Ref_Alimentos!$U$2:$U$9,MATCH($C9,Ref_Alimentos!$T$2:$T$9,0)),"")&amp;"|"&amp;"Café da manhã",Ref_Alimentos!$Q$2:$Q$60,0)),""))</f>
        <v/>
      </c>
      <c r="H10" s="32">
        <f>IF($B10="","",IF($F10="Evitar","⚠ Conflito",IF(AND($F10="Moderar",SUMPRODUCT(($B$7:$B$11&lt;&gt;"")*(ROW($B$7:$B$11)&lt;&gt;ROW($B10))*(($F$7:$F$11="Moderar")+($F$7:$F$11="Evitar")))&gt;0),"⚠ Conflito","")))</f>
        <v/>
      </c>
    </row>
    <row r="11" ht="25.5" customHeight="1">
      <c r="A11" s="26" t="n">
        <v>5</v>
      </c>
      <c r="B11" s="27" t="n"/>
      <c r="C11" s="28">
        <f>IFERROR(INDEX(Ref_Alimentos!$B$2:$B$101,MATCH($B11,Ref_Alimentos!$A$2:$A$101,0)),"")</f>
        <v/>
      </c>
      <c r="D11" s="29">
        <f>IFERROR(INDEX(Ref_Alimentos!$D$2:$D$101,MATCH($B11,Ref_Alimentos!$A$2:$A$101,0)),"")</f>
        <v/>
      </c>
      <c r="E11" s="26" t="n"/>
      <c r="F11" s="30">
        <f>IFERROR(INDEX(Ref_Alimentos!$C$2:$C$101,MATCH($B11,Ref_Alimentos!$A$2:$A$101,0)),"")</f>
        <v/>
      </c>
      <c r="G11" s="31">
        <f>IF($B10="","",IFERROR(INDEX(Ref_Alimentos!$R$2:$R$60,MATCH(IFERROR(INDEX(Ref_Alimentos!$U$2:$U$9,MATCH($C10,Ref_Alimentos!$T$2:$T$9,0)),"")&amp;"|"&amp;"Café da manhã",Ref_Alimentos!$Q$2:$Q$60,0)),""))</f>
        <v/>
      </c>
      <c r="H11" s="32">
        <f>IF($B11="","",IF($F11="Evitar","⚠ Conflito",IF(AND($F11="Moderar",SUMPRODUCT(($B$7:$B$11&lt;&gt;"")*(ROW($B$7:$B$11)&lt;&gt;ROW($B11))*(($F$7:$F$11="Moderar")+($F$7:$F$11="Evitar")))&gt;0),"⚠ Conflito","")))</f>
        <v/>
      </c>
    </row>
    <row r="13" ht="19.5" customHeight="1">
      <c r="A13" s="24" t="inlineStr">
        <is>
          <t>ALMOÇO</t>
        </is>
      </c>
      <c r="B13" s="11" t="n"/>
      <c r="C13" s="11" t="n"/>
      <c r="D13" s="11" t="n"/>
      <c r="E13" s="11" t="n"/>
      <c r="F13" s="11" t="n"/>
      <c r="G13" s="11" t="n"/>
      <c r="H13" s="11" t="n"/>
    </row>
    <row r="14" ht="30" customHeight="1">
      <c r="A14" s="25" t="inlineStr">
        <is>
          <t>Nº</t>
        </is>
      </c>
      <c r="B14" s="25" t="inlineStr">
        <is>
          <t>Alimento</t>
        </is>
      </c>
      <c r="C14" s="25" t="inlineStr">
        <is>
          <t>Categoria</t>
        </is>
      </c>
      <c r="D14" s="25" t="inlineStr">
        <is>
          <t>Porção sugerida</t>
        </is>
      </c>
      <c r="E14" s="25" t="inlineStr">
        <is>
          <t>Quantidade a comer</t>
        </is>
      </c>
      <c r="F14" s="25" t="inlineStr">
        <is>
          <t>Classificação</t>
        </is>
      </c>
      <c r="G14" s="25" t="inlineStr">
        <is>
          <t>Sugestão (com base no item anterior)</t>
        </is>
      </c>
      <c r="H14" s="25" t="inlineStr">
        <is>
          <t>Conflito</t>
        </is>
      </c>
    </row>
    <row r="15" ht="25.5" customHeight="1">
      <c r="A15" s="26" t="n">
        <v>1</v>
      </c>
      <c r="B15" s="27" t="n"/>
      <c r="C15" s="28">
        <f>IFERROR(INDEX(Ref_Alimentos!$B$2:$B$101,MATCH($B15,Ref_Alimentos!$A$2:$A$101,0)),"")</f>
        <v/>
      </c>
      <c r="D15" s="29">
        <f>IFERROR(INDEX(Ref_Alimentos!$D$2:$D$101,MATCH($B15,Ref_Alimentos!$A$2:$A$101,0)),"")</f>
        <v/>
      </c>
      <c r="E15" s="26" t="n"/>
      <c r="F15" s="30">
        <f>IFERROR(INDEX(Ref_Alimentos!$C$2:$C$101,MATCH($B15,Ref_Alimentos!$A$2:$A$101,0)),"")</f>
        <v/>
      </c>
      <c r="G15" s="31" t="inlineStr"/>
      <c r="H15" s="32">
        <f>IF($B15="","",IF($F15="Evitar","⚠ Conflito",IF(AND($F15="Moderar",SUMPRODUCT(($B$15:$B$19&lt;&gt;"")*(ROW($B$15:$B$19)&lt;&gt;ROW($B15))*(($F$15:$F$19="Moderar")+($F$15:$F$19="Evitar")))&gt;0),"⚠ Conflito","")))</f>
        <v/>
      </c>
    </row>
    <row r="16" ht="25.5" customHeight="1">
      <c r="A16" s="26" t="n">
        <v>2</v>
      </c>
      <c r="B16" s="27" t="n"/>
      <c r="C16" s="28">
        <f>IFERROR(INDEX(Ref_Alimentos!$B$2:$B$101,MATCH($B16,Ref_Alimentos!$A$2:$A$101,0)),"")</f>
        <v/>
      </c>
      <c r="D16" s="29">
        <f>IFERROR(INDEX(Ref_Alimentos!$D$2:$D$101,MATCH($B16,Ref_Alimentos!$A$2:$A$101,0)),"")</f>
        <v/>
      </c>
      <c r="E16" s="26" t="n"/>
      <c r="F16" s="30">
        <f>IFERROR(INDEX(Ref_Alimentos!$C$2:$C$101,MATCH($B16,Ref_Alimentos!$A$2:$A$101,0)),"")</f>
        <v/>
      </c>
      <c r="G16" s="31">
        <f>IF($B15="","",IFERROR(INDEX(Ref_Alimentos!$R$2:$R$60,MATCH(IFERROR(INDEX(Ref_Alimentos!$U$2:$U$9,MATCH($C15,Ref_Alimentos!$T$2:$T$9,0)),"")&amp;"|"&amp;"Almoço",Ref_Alimentos!$Q$2:$Q$60,0)),""))</f>
        <v/>
      </c>
      <c r="H16" s="32">
        <f>IF($B16="","",IF($F16="Evitar","⚠ Conflito",IF(AND($F16="Moderar",SUMPRODUCT(($B$15:$B$19&lt;&gt;"")*(ROW($B$15:$B$19)&lt;&gt;ROW($B16))*(($F$15:$F$19="Moderar")+($F$15:$F$19="Evitar")))&gt;0),"⚠ Conflito","")))</f>
        <v/>
      </c>
    </row>
    <row r="17" ht="25.5" customHeight="1">
      <c r="A17" s="26" t="n">
        <v>3</v>
      </c>
      <c r="B17" s="27" t="n"/>
      <c r="C17" s="28">
        <f>IFERROR(INDEX(Ref_Alimentos!$B$2:$B$101,MATCH($B17,Ref_Alimentos!$A$2:$A$101,0)),"")</f>
        <v/>
      </c>
      <c r="D17" s="29">
        <f>IFERROR(INDEX(Ref_Alimentos!$D$2:$D$101,MATCH($B17,Ref_Alimentos!$A$2:$A$101,0)),"")</f>
        <v/>
      </c>
      <c r="E17" s="26" t="n"/>
      <c r="F17" s="30">
        <f>IFERROR(INDEX(Ref_Alimentos!$C$2:$C$101,MATCH($B17,Ref_Alimentos!$A$2:$A$101,0)),"")</f>
        <v/>
      </c>
      <c r="G17" s="31">
        <f>IF($B16="","",IFERROR(INDEX(Ref_Alimentos!$R$2:$R$60,MATCH(IFERROR(INDEX(Ref_Alimentos!$U$2:$U$9,MATCH($C16,Ref_Alimentos!$T$2:$T$9,0)),"")&amp;"|"&amp;"Almoço",Ref_Alimentos!$Q$2:$Q$60,0)),""))</f>
        <v/>
      </c>
      <c r="H17" s="32">
        <f>IF($B17="","",IF($F17="Evitar","⚠ Conflito",IF(AND($F17="Moderar",SUMPRODUCT(($B$15:$B$19&lt;&gt;"")*(ROW($B$15:$B$19)&lt;&gt;ROW($B17))*(($F$15:$F$19="Moderar")+($F$15:$F$19="Evitar")))&gt;0),"⚠ Conflito","")))</f>
        <v/>
      </c>
    </row>
    <row r="18" ht="25.5" customHeight="1">
      <c r="A18" s="26" t="n">
        <v>4</v>
      </c>
      <c r="B18" s="27" t="n"/>
      <c r="C18" s="28">
        <f>IFERROR(INDEX(Ref_Alimentos!$B$2:$B$101,MATCH($B18,Ref_Alimentos!$A$2:$A$101,0)),"")</f>
        <v/>
      </c>
      <c r="D18" s="29">
        <f>IFERROR(INDEX(Ref_Alimentos!$D$2:$D$101,MATCH($B18,Ref_Alimentos!$A$2:$A$101,0)),"")</f>
        <v/>
      </c>
      <c r="E18" s="26" t="n"/>
      <c r="F18" s="30">
        <f>IFERROR(INDEX(Ref_Alimentos!$C$2:$C$101,MATCH($B18,Ref_Alimentos!$A$2:$A$101,0)),"")</f>
        <v/>
      </c>
      <c r="G18" s="31">
        <f>IF($B17="","",IFERROR(INDEX(Ref_Alimentos!$R$2:$R$60,MATCH(IFERROR(INDEX(Ref_Alimentos!$U$2:$U$9,MATCH($C17,Ref_Alimentos!$T$2:$T$9,0)),"")&amp;"|"&amp;"Almoço",Ref_Alimentos!$Q$2:$Q$60,0)),""))</f>
        <v/>
      </c>
      <c r="H18" s="32">
        <f>IF($B18="","",IF($F18="Evitar","⚠ Conflito",IF(AND($F18="Moderar",SUMPRODUCT(($B$15:$B$19&lt;&gt;"")*(ROW($B$15:$B$19)&lt;&gt;ROW($B18))*(($F$15:$F$19="Moderar")+($F$15:$F$19="Evitar")))&gt;0),"⚠ Conflito","")))</f>
        <v/>
      </c>
    </row>
    <row r="19" ht="25.5" customHeight="1">
      <c r="A19" s="26" t="n">
        <v>5</v>
      </c>
      <c r="B19" s="27" t="n"/>
      <c r="C19" s="28">
        <f>IFERROR(INDEX(Ref_Alimentos!$B$2:$B$101,MATCH($B19,Ref_Alimentos!$A$2:$A$101,0)),"")</f>
        <v/>
      </c>
      <c r="D19" s="29">
        <f>IFERROR(INDEX(Ref_Alimentos!$D$2:$D$101,MATCH($B19,Ref_Alimentos!$A$2:$A$101,0)),"")</f>
        <v/>
      </c>
      <c r="E19" s="26" t="n"/>
      <c r="F19" s="30">
        <f>IFERROR(INDEX(Ref_Alimentos!$C$2:$C$101,MATCH($B19,Ref_Alimentos!$A$2:$A$101,0)),"")</f>
        <v/>
      </c>
      <c r="G19" s="31">
        <f>IF($B18="","",IFERROR(INDEX(Ref_Alimentos!$R$2:$R$60,MATCH(IFERROR(INDEX(Ref_Alimentos!$U$2:$U$9,MATCH($C18,Ref_Alimentos!$T$2:$T$9,0)),"")&amp;"|"&amp;"Almoço",Ref_Alimentos!$Q$2:$Q$60,0)),""))</f>
        <v/>
      </c>
      <c r="H19" s="32">
        <f>IF($B19="","",IF($F19="Evitar","⚠ Conflito",IF(AND($F19="Moderar",SUMPRODUCT(($B$15:$B$19&lt;&gt;"")*(ROW($B$15:$B$19)&lt;&gt;ROW($B19))*(($F$15:$F$19="Moderar")+($F$15:$F$19="Evitar")))&gt;0),"⚠ Conflito","")))</f>
        <v/>
      </c>
    </row>
    <row r="21" ht="19.5" customHeight="1">
      <c r="A21" s="24" t="inlineStr">
        <is>
          <t>LANCHE</t>
        </is>
      </c>
      <c r="B21" s="11" t="n"/>
      <c r="C21" s="11" t="n"/>
      <c r="D21" s="11" t="n"/>
      <c r="E21" s="11" t="n"/>
      <c r="F21" s="11" t="n"/>
      <c r="G21" s="11" t="n"/>
      <c r="H21" s="11" t="n"/>
    </row>
    <row r="22" ht="30" customHeight="1">
      <c r="A22" s="25" t="inlineStr">
        <is>
          <t>Nº</t>
        </is>
      </c>
      <c r="B22" s="25" t="inlineStr">
        <is>
          <t>Alimento</t>
        </is>
      </c>
      <c r="C22" s="25" t="inlineStr">
        <is>
          <t>Categoria</t>
        </is>
      </c>
      <c r="D22" s="25" t="inlineStr">
        <is>
          <t>Porção sugerida</t>
        </is>
      </c>
      <c r="E22" s="25" t="inlineStr">
        <is>
          <t>Quantidade a comer</t>
        </is>
      </c>
      <c r="F22" s="25" t="inlineStr">
        <is>
          <t>Classificação</t>
        </is>
      </c>
      <c r="G22" s="25" t="inlineStr">
        <is>
          <t>Sugestão (com base no item anterior)</t>
        </is>
      </c>
      <c r="H22" s="25" t="inlineStr">
        <is>
          <t>Conflito</t>
        </is>
      </c>
    </row>
    <row r="23" ht="25.5" customHeight="1">
      <c r="A23" s="26" t="n">
        <v>1</v>
      </c>
      <c r="B23" s="27" t="n"/>
      <c r="C23" s="28">
        <f>IFERROR(INDEX(Ref_Alimentos!$B$2:$B$101,MATCH($B23,Ref_Alimentos!$A$2:$A$101,0)),"")</f>
        <v/>
      </c>
      <c r="D23" s="29">
        <f>IFERROR(INDEX(Ref_Alimentos!$D$2:$D$101,MATCH($B23,Ref_Alimentos!$A$2:$A$101,0)),"")</f>
        <v/>
      </c>
      <c r="E23" s="26" t="n"/>
      <c r="F23" s="30">
        <f>IFERROR(INDEX(Ref_Alimentos!$C$2:$C$101,MATCH($B23,Ref_Alimentos!$A$2:$A$101,0)),"")</f>
        <v/>
      </c>
      <c r="G23" s="31" t="inlineStr"/>
      <c r="H23" s="32">
        <f>IF($B23="","",IF($F23="Evitar","⚠ Conflito",IF(AND($F23="Moderar",SUMPRODUCT(($B$23:$B$27&lt;&gt;"")*(ROW($B$23:$B$27)&lt;&gt;ROW($B23))*(($F$23:$F$27="Moderar")+($F$23:$F$27="Evitar")))&gt;0),"⚠ Conflito","")))</f>
        <v/>
      </c>
    </row>
    <row r="24" ht="25.5" customHeight="1">
      <c r="A24" s="26" t="n">
        <v>2</v>
      </c>
      <c r="B24" s="27" t="n"/>
      <c r="C24" s="28">
        <f>IFERROR(INDEX(Ref_Alimentos!$B$2:$B$101,MATCH($B24,Ref_Alimentos!$A$2:$A$101,0)),"")</f>
        <v/>
      </c>
      <c r="D24" s="29">
        <f>IFERROR(INDEX(Ref_Alimentos!$D$2:$D$101,MATCH($B24,Ref_Alimentos!$A$2:$A$101,0)),"")</f>
        <v/>
      </c>
      <c r="E24" s="26" t="n"/>
      <c r="F24" s="30">
        <f>IFERROR(INDEX(Ref_Alimentos!$C$2:$C$101,MATCH($B24,Ref_Alimentos!$A$2:$A$101,0)),"")</f>
        <v/>
      </c>
      <c r="G24" s="31">
        <f>IF($B23="","",IFERROR(INDEX(Ref_Alimentos!$R$2:$R$60,MATCH(IFERROR(INDEX(Ref_Alimentos!$U$2:$U$9,MATCH($C23,Ref_Alimentos!$T$2:$T$9,0)),"")&amp;"|"&amp;"Lanche",Ref_Alimentos!$Q$2:$Q$60,0)),""))</f>
        <v/>
      </c>
      <c r="H24" s="32">
        <f>IF($B24="","",IF($F24="Evitar","⚠ Conflito",IF(AND($F24="Moderar",SUMPRODUCT(($B$23:$B$27&lt;&gt;"")*(ROW($B$23:$B$27)&lt;&gt;ROW($B24))*(($F$23:$F$27="Moderar")+($F$23:$F$27="Evitar")))&gt;0),"⚠ Conflito","")))</f>
        <v/>
      </c>
    </row>
    <row r="25" ht="25.5" customHeight="1">
      <c r="A25" s="26" t="n">
        <v>3</v>
      </c>
      <c r="B25" s="27" t="n"/>
      <c r="C25" s="28">
        <f>IFERROR(INDEX(Ref_Alimentos!$B$2:$B$101,MATCH($B25,Ref_Alimentos!$A$2:$A$101,0)),"")</f>
        <v/>
      </c>
      <c r="D25" s="29">
        <f>IFERROR(INDEX(Ref_Alimentos!$D$2:$D$101,MATCH($B25,Ref_Alimentos!$A$2:$A$101,0)),"")</f>
        <v/>
      </c>
      <c r="E25" s="26" t="n"/>
      <c r="F25" s="30">
        <f>IFERROR(INDEX(Ref_Alimentos!$C$2:$C$101,MATCH($B25,Ref_Alimentos!$A$2:$A$101,0)),"")</f>
        <v/>
      </c>
      <c r="G25" s="31">
        <f>IF($B24="","",IFERROR(INDEX(Ref_Alimentos!$R$2:$R$60,MATCH(IFERROR(INDEX(Ref_Alimentos!$U$2:$U$9,MATCH($C24,Ref_Alimentos!$T$2:$T$9,0)),"")&amp;"|"&amp;"Lanche",Ref_Alimentos!$Q$2:$Q$60,0)),""))</f>
        <v/>
      </c>
      <c r="H25" s="32">
        <f>IF($B25="","",IF($F25="Evitar","⚠ Conflito",IF(AND($F25="Moderar",SUMPRODUCT(($B$23:$B$27&lt;&gt;"")*(ROW($B$23:$B$27)&lt;&gt;ROW($B25))*(($F$23:$F$27="Moderar")+($F$23:$F$27="Evitar")))&gt;0),"⚠ Conflito","")))</f>
        <v/>
      </c>
    </row>
    <row r="26" ht="25.5" customHeight="1">
      <c r="A26" s="26" t="n">
        <v>4</v>
      </c>
      <c r="B26" s="27" t="n"/>
      <c r="C26" s="28">
        <f>IFERROR(INDEX(Ref_Alimentos!$B$2:$B$101,MATCH($B26,Ref_Alimentos!$A$2:$A$101,0)),"")</f>
        <v/>
      </c>
      <c r="D26" s="29">
        <f>IFERROR(INDEX(Ref_Alimentos!$D$2:$D$101,MATCH($B26,Ref_Alimentos!$A$2:$A$101,0)),"")</f>
        <v/>
      </c>
      <c r="E26" s="26" t="n"/>
      <c r="F26" s="30">
        <f>IFERROR(INDEX(Ref_Alimentos!$C$2:$C$101,MATCH($B26,Ref_Alimentos!$A$2:$A$101,0)),"")</f>
        <v/>
      </c>
      <c r="G26" s="31">
        <f>IF($B25="","",IFERROR(INDEX(Ref_Alimentos!$R$2:$R$60,MATCH(IFERROR(INDEX(Ref_Alimentos!$U$2:$U$9,MATCH($C25,Ref_Alimentos!$T$2:$T$9,0)),"")&amp;"|"&amp;"Lanche",Ref_Alimentos!$Q$2:$Q$60,0)),""))</f>
        <v/>
      </c>
      <c r="H26" s="32">
        <f>IF($B26="","",IF($F26="Evitar","⚠ Conflito",IF(AND($F26="Moderar",SUMPRODUCT(($B$23:$B$27&lt;&gt;"")*(ROW($B$23:$B$27)&lt;&gt;ROW($B26))*(($F$23:$F$27="Moderar")+($F$23:$F$27="Evitar")))&gt;0),"⚠ Conflito","")))</f>
        <v/>
      </c>
    </row>
    <row r="27" ht="25.5" customHeight="1">
      <c r="A27" s="26" t="n">
        <v>5</v>
      </c>
      <c r="B27" s="27" t="n"/>
      <c r="C27" s="28">
        <f>IFERROR(INDEX(Ref_Alimentos!$B$2:$B$101,MATCH($B27,Ref_Alimentos!$A$2:$A$101,0)),"")</f>
        <v/>
      </c>
      <c r="D27" s="29">
        <f>IFERROR(INDEX(Ref_Alimentos!$D$2:$D$101,MATCH($B27,Ref_Alimentos!$A$2:$A$101,0)),"")</f>
        <v/>
      </c>
      <c r="E27" s="26" t="n"/>
      <c r="F27" s="30">
        <f>IFERROR(INDEX(Ref_Alimentos!$C$2:$C$101,MATCH($B27,Ref_Alimentos!$A$2:$A$101,0)),"")</f>
        <v/>
      </c>
      <c r="G27" s="31">
        <f>IF($B26="","",IFERROR(INDEX(Ref_Alimentos!$R$2:$R$60,MATCH(IFERROR(INDEX(Ref_Alimentos!$U$2:$U$9,MATCH($C26,Ref_Alimentos!$T$2:$T$9,0)),"")&amp;"|"&amp;"Lanche",Ref_Alimentos!$Q$2:$Q$60,0)),""))</f>
        <v/>
      </c>
      <c r="H27" s="32">
        <f>IF($B27="","",IF($F27="Evitar","⚠ Conflito",IF(AND($F27="Moderar",SUMPRODUCT(($B$23:$B$27&lt;&gt;"")*(ROW($B$23:$B$27)&lt;&gt;ROW($B27))*(($F$23:$F$27="Moderar")+($F$23:$F$27="Evitar")))&gt;0),"⚠ Conflito","")))</f>
        <v/>
      </c>
    </row>
    <row r="29" ht="19.5" customHeight="1">
      <c r="A29" s="24" t="inlineStr">
        <is>
          <t>JANTAR</t>
        </is>
      </c>
      <c r="B29" s="11" t="n"/>
      <c r="C29" s="11" t="n"/>
      <c r="D29" s="11" t="n"/>
      <c r="E29" s="11" t="n"/>
      <c r="F29" s="11" t="n"/>
      <c r="G29" s="11" t="n"/>
      <c r="H29" s="11" t="n"/>
    </row>
    <row r="30" ht="30" customHeight="1">
      <c r="A30" s="25" t="inlineStr">
        <is>
          <t>Nº</t>
        </is>
      </c>
      <c r="B30" s="25" t="inlineStr">
        <is>
          <t>Alimento</t>
        </is>
      </c>
      <c r="C30" s="25" t="inlineStr">
        <is>
          <t>Categoria</t>
        </is>
      </c>
      <c r="D30" s="25" t="inlineStr">
        <is>
          <t>Porção sugerida</t>
        </is>
      </c>
      <c r="E30" s="25" t="inlineStr">
        <is>
          <t>Quantidade a comer</t>
        </is>
      </c>
      <c r="F30" s="25" t="inlineStr">
        <is>
          <t>Classificação</t>
        </is>
      </c>
      <c r="G30" s="25" t="inlineStr">
        <is>
          <t>Sugestão (com base no item anterior)</t>
        </is>
      </c>
      <c r="H30" s="25" t="inlineStr">
        <is>
          <t>Conflito</t>
        </is>
      </c>
    </row>
    <row r="31" ht="25.5" customHeight="1">
      <c r="A31" s="26" t="n">
        <v>1</v>
      </c>
      <c r="B31" s="27" t="n"/>
      <c r="C31" s="28">
        <f>IFERROR(INDEX(Ref_Alimentos!$B$2:$B$101,MATCH($B31,Ref_Alimentos!$A$2:$A$101,0)),"")</f>
        <v/>
      </c>
      <c r="D31" s="29">
        <f>IFERROR(INDEX(Ref_Alimentos!$D$2:$D$101,MATCH($B31,Ref_Alimentos!$A$2:$A$101,0)),"")</f>
        <v/>
      </c>
      <c r="E31" s="26" t="n"/>
      <c r="F31" s="30">
        <f>IFERROR(INDEX(Ref_Alimentos!$C$2:$C$101,MATCH($B31,Ref_Alimentos!$A$2:$A$101,0)),"")</f>
        <v/>
      </c>
      <c r="G31" s="31" t="inlineStr"/>
      <c r="H31" s="32">
        <f>IF($B31="","",IF($F31="Evitar","⚠ Conflito",IF(AND($F31="Moderar",SUMPRODUCT(($B$31:$B$35&lt;&gt;"")*(ROW($B$31:$B$35)&lt;&gt;ROW($B31))*(($F$31:$F$35="Moderar")+($F$31:$F$35="Evitar")))&gt;0),"⚠ Conflito","")))</f>
        <v/>
      </c>
    </row>
    <row r="32" ht="25.5" customHeight="1">
      <c r="A32" s="26" t="n">
        <v>2</v>
      </c>
      <c r="B32" s="27" t="n"/>
      <c r="C32" s="28">
        <f>IFERROR(INDEX(Ref_Alimentos!$B$2:$B$101,MATCH($B32,Ref_Alimentos!$A$2:$A$101,0)),"")</f>
        <v/>
      </c>
      <c r="D32" s="29">
        <f>IFERROR(INDEX(Ref_Alimentos!$D$2:$D$101,MATCH($B32,Ref_Alimentos!$A$2:$A$101,0)),"")</f>
        <v/>
      </c>
      <c r="E32" s="26" t="n"/>
      <c r="F32" s="30">
        <f>IFERROR(INDEX(Ref_Alimentos!$C$2:$C$101,MATCH($B32,Ref_Alimentos!$A$2:$A$101,0)),"")</f>
        <v/>
      </c>
      <c r="G32" s="31">
        <f>IF($B31="","",IFERROR(INDEX(Ref_Alimentos!$R$2:$R$60,MATCH(IFERROR(INDEX(Ref_Alimentos!$U$2:$U$9,MATCH($C31,Ref_Alimentos!$T$2:$T$9,0)),"")&amp;"|"&amp;"Jantar",Ref_Alimentos!$Q$2:$Q$60,0)),""))</f>
        <v/>
      </c>
      <c r="H32" s="32">
        <f>IF($B32="","",IF($F32="Evitar","⚠ Conflito",IF(AND($F32="Moderar",SUMPRODUCT(($B$31:$B$35&lt;&gt;"")*(ROW($B$31:$B$35)&lt;&gt;ROW($B32))*(($F$31:$F$35="Moderar")+($F$31:$F$35="Evitar")))&gt;0),"⚠ Conflito","")))</f>
        <v/>
      </c>
    </row>
    <row r="33" ht="25.5" customHeight="1">
      <c r="A33" s="26" t="n">
        <v>3</v>
      </c>
      <c r="B33" s="27" t="n"/>
      <c r="C33" s="28">
        <f>IFERROR(INDEX(Ref_Alimentos!$B$2:$B$101,MATCH($B33,Ref_Alimentos!$A$2:$A$101,0)),"")</f>
        <v/>
      </c>
      <c r="D33" s="29">
        <f>IFERROR(INDEX(Ref_Alimentos!$D$2:$D$101,MATCH($B33,Ref_Alimentos!$A$2:$A$101,0)),"")</f>
        <v/>
      </c>
      <c r="E33" s="26" t="n"/>
      <c r="F33" s="30">
        <f>IFERROR(INDEX(Ref_Alimentos!$C$2:$C$101,MATCH($B33,Ref_Alimentos!$A$2:$A$101,0)),"")</f>
        <v/>
      </c>
      <c r="G33" s="31">
        <f>IF($B32="","",IFERROR(INDEX(Ref_Alimentos!$R$2:$R$60,MATCH(IFERROR(INDEX(Ref_Alimentos!$U$2:$U$9,MATCH($C32,Ref_Alimentos!$T$2:$T$9,0)),"")&amp;"|"&amp;"Jantar",Ref_Alimentos!$Q$2:$Q$60,0)),""))</f>
        <v/>
      </c>
      <c r="H33" s="32">
        <f>IF($B33="","",IF($F33="Evitar","⚠ Conflito",IF(AND($F33="Moderar",SUMPRODUCT(($B$31:$B$35&lt;&gt;"")*(ROW($B$31:$B$35)&lt;&gt;ROW($B33))*(($F$31:$F$35="Moderar")+($F$31:$F$35="Evitar")))&gt;0),"⚠ Conflito","")))</f>
        <v/>
      </c>
    </row>
    <row r="34" ht="25.5" customHeight="1">
      <c r="A34" s="26" t="n">
        <v>4</v>
      </c>
      <c r="B34" s="27" t="n"/>
      <c r="C34" s="28">
        <f>IFERROR(INDEX(Ref_Alimentos!$B$2:$B$101,MATCH($B34,Ref_Alimentos!$A$2:$A$101,0)),"")</f>
        <v/>
      </c>
      <c r="D34" s="29">
        <f>IFERROR(INDEX(Ref_Alimentos!$D$2:$D$101,MATCH($B34,Ref_Alimentos!$A$2:$A$101,0)),"")</f>
        <v/>
      </c>
      <c r="E34" s="26" t="n"/>
      <c r="F34" s="30">
        <f>IFERROR(INDEX(Ref_Alimentos!$C$2:$C$101,MATCH($B34,Ref_Alimentos!$A$2:$A$101,0)),"")</f>
        <v/>
      </c>
      <c r="G34" s="31">
        <f>IF($B33="","",IFERROR(INDEX(Ref_Alimentos!$R$2:$R$60,MATCH(IFERROR(INDEX(Ref_Alimentos!$U$2:$U$9,MATCH($C33,Ref_Alimentos!$T$2:$T$9,0)),"")&amp;"|"&amp;"Jantar",Ref_Alimentos!$Q$2:$Q$60,0)),""))</f>
        <v/>
      </c>
      <c r="H34" s="32">
        <f>IF($B34="","",IF($F34="Evitar","⚠ Conflito",IF(AND($F34="Moderar",SUMPRODUCT(($B$31:$B$35&lt;&gt;"")*(ROW($B$31:$B$35)&lt;&gt;ROW($B34))*(($F$31:$F$35="Moderar")+($F$31:$F$35="Evitar")))&gt;0),"⚠ Conflito","")))</f>
        <v/>
      </c>
    </row>
    <row r="35" ht="25.5" customHeight="1">
      <c r="A35" s="26" t="n">
        <v>5</v>
      </c>
      <c r="B35" s="27" t="n"/>
      <c r="C35" s="28">
        <f>IFERROR(INDEX(Ref_Alimentos!$B$2:$B$101,MATCH($B35,Ref_Alimentos!$A$2:$A$101,0)),"")</f>
        <v/>
      </c>
      <c r="D35" s="29">
        <f>IFERROR(INDEX(Ref_Alimentos!$D$2:$D$101,MATCH($B35,Ref_Alimentos!$A$2:$A$101,0)),"")</f>
        <v/>
      </c>
      <c r="E35" s="26" t="n"/>
      <c r="F35" s="30">
        <f>IFERROR(INDEX(Ref_Alimentos!$C$2:$C$101,MATCH($B35,Ref_Alimentos!$A$2:$A$101,0)),"")</f>
        <v/>
      </c>
      <c r="G35" s="31">
        <f>IF($B34="","",IFERROR(INDEX(Ref_Alimentos!$R$2:$R$60,MATCH(IFERROR(INDEX(Ref_Alimentos!$U$2:$U$9,MATCH($C34,Ref_Alimentos!$T$2:$T$9,0)),"")&amp;"|"&amp;"Jantar",Ref_Alimentos!$Q$2:$Q$60,0)),""))</f>
        <v/>
      </c>
      <c r="H35" s="32">
        <f>IF($B35="","",IF($F35="Evitar","⚠ Conflito",IF(AND($F35="Moderar",SUMPRODUCT(($B$31:$B$35&lt;&gt;"")*(ROW($B$31:$B$35)&lt;&gt;ROW($B35))*(($F$31:$F$35="Moderar")+($F$31:$F$35="Evitar")))&gt;0),"⚠ Conflito","")))</f>
        <v/>
      </c>
    </row>
    <row r="37" ht="43.5" customHeight="1">
      <c r="A37" s="9" t="inlineStr">
        <is>
          <t>Limitações conhecidas: a ordem do menu suspenso é fixa (Liberado &gt; Moderar &gt; Evitar), ela não se reordena sozinha conforme o item anterior — quem indica o que combina melhor é a coluna 'Sugestão'. A coluna 'Conflito' é uma aproximação (marca um item 'Evitar' sozinho, ou dois itens 'Moderar'/'Evitar' juntos na mesma refeição) — não é uma checagem real de interação entre os dois alimentos específicos.</t>
        </is>
      </c>
    </row>
  </sheetData>
  <mergeCells count="7">
    <mergeCell ref="A1:H1"/>
    <mergeCell ref="A21:H21"/>
    <mergeCell ref="A29:H29"/>
    <mergeCell ref="A2:H2"/>
    <mergeCell ref="A13:H13"/>
    <mergeCell ref="A5:H5"/>
    <mergeCell ref="A37:H37"/>
  </mergeCells>
  <conditionalFormatting sqref="F7:F11">
    <cfRule type="cellIs" priority="1" operator="equal" dxfId="0">
      <formula>"Liberado"</formula>
    </cfRule>
    <cfRule type="cellIs" priority="2" operator="equal" dxfId="1">
      <formula>"Moderar"</formula>
    </cfRule>
    <cfRule type="cellIs" priority="3" operator="equal" dxfId="2">
      <formula>"Evitar"</formula>
    </cfRule>
  </conditionalFormatting>
  <conditionalFormatting sqref="H7:H11">
    <cfRule type="cellIs" priority="4" operator="equal" dxfId="3">
      <formula>"⚠ Conflito"</formula>
    </cfRule>
  </conditionalFormatting>
  <conditionalFormatting sqref="F15:F19">
    <cfRule type="cellIs" priority="5" operator="equal" dxfId="0">
      <formula>"Liberado"</formula>
    </cfRule>
    <cfRule type="cellIs" priority="6" operator="equal" dxfId="1">
      <formula>"Moderar"</formula>
    </cfRule>
    <cfRule type="cellIs" priority="7" operator="equal" dxfId="2">
      <formula>"Evitar"</formula>
    </cfRule>
  </conditionalFormatting>
  <conditionalFormatting sqref="H15:H19">
    <cfRule type="cellIs" priority="8" operator="equal" dxfId="3">
      <formula>"⚠ Conflito"</formula>
    </cfRule>
  </conditionalFormatting>
  <conditionalFormatting sqref="F23:F27">
    <cfRule type="cellIs" priority="9" operator="equal" dxfId="0">
      <formula>"Liberado"</formula>
    </cfRule>
    <cfRule type="cellIs" priority="10" operator="equal" dxfId="1">
      <formula>"Moderar"</formula>
    </cfRule>
    <cfRule type="cellIs" priority="11" operator="equal" dxfId="2">
      <formula>"Evitar"</formula>
    </cfRule>
  </conditionalFormatting>
  <conditionalFormatting sqref="H23:H27">
    <cfRule type="cellIs" priority="12" operator="equal" dxfId="3">
      <formula>"⚠ Conflito"</formula>
    </cfRule>
  </conditionalFormatting>
  <conditionalFormatting sqref="F31:F35">
    <cfRule type="cellIs" priority="13" operator="equal" dxfId="0">
      <formula>"Liberado"</formula>
    </cfRule>
    <cfRule type="cellIs" priority="14" operator="equal" dxfId="1">
      <formula>"Moderar"</formula>
    </cfRule>
    <cfRule type="cellIs" priority="15" operator="equal" dxfId="2">
      <formula>"Evitar"</formula>
    </cfRule>
  </conditionalFormatting>
  <conditionalFormatting sqref="H31:H35">
    <cfRule type="cellIs" priority="16" operator="equal" dxfId="3">
      <formula>"⚠ Conflito"</formula>
    </cfRule>
  </conditionalFormatting>
  <dataValidations count="4">
    <dataValidation sqref="B7:B11" showDropDown="0" showInputMessage="1" showErrorMessage="1" allowBlank="1" errorTitle="Alimento fora da lista" error="Escolha um alimento da lista da coluna (ou deixe em branco)." promptTitle="Alimentos para Café da manhã" prompt="Lista filtrada para esta refeição, com os alimentos Liberados primeiro." type="list" errorStyle="warning">
      <formula1>=Lista_CafeDaManha</formula1>
    </dataValidation>
    <dataValidation sqref="B15:B19" showDropDown="0" showInputMessage="1" showErrorMessage="1" allowBlank="1" errorTitle="Alimento fora da lista" error="Escolha um alimento da lista da coluna (ou deixe em branco)." promptTitle="Alimentos para Almoço" prompt="Lista filtrada para esta refeição, com os alimentos Liberados primeiro." type="list" errorStyle="warning">
      <formula1>=Lista_Almoco</formula1>
    </dataValidation>
    <dataValidation sqref="B23:B27" showDropDown="0" showInputMessage="1" showErrorMessage="1" allowBlank="1" errorTitle="Alimento fora da lista" error="Escolha um alimento da lista da coluna (ou deixe em branco)." promptTitle="Alimentos para Lanche" prompt="Lista filtrada para esta refeição, com os alimentos Liberados primeiro." type="list" errorStyle="warning">
      <formula1>=Lista_Lanche</formula1>
    </dataValidation>
    <dataValidation sqref="B31:B35" showDropDown="0" showInputMessage="1" showErrorMessage="1" allowBlank="1" errorTitle="Alimento fora da lista" error="Escolha um alimento da lista da coluna (ou deixe em branco)." promptTitle="Alimentos para Jantar" prompt="Lista filtrada para esta refeição, com os alimentos Liberados primeiro." type="list" errorStyle="warning">
      <formula1>=Lista_Jantar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showGridLines="0" workbookViewId="0">
      <pane ySplit="3" topLeftCell="A4" activePane="bottomLeft" state="frozen"/>
      <selection pane="bottomLeft" activeCell="A1" sqref="A1"/>
    </sheetView>
  </sheetViews>
  <sheetFormatPr baseColWidth="8" defaultRowHeight="15"/>
  <cols>
    <col width="5" customWidth="1" min="1" max="1"/>
    <col width="44" customWidth="1" min="2" max="2"/>
    <col width="38" customWidth="1" min="3" max="3"/>
    <col width="24" customWidth="1" min="4" max="4"/>
    <col width="13" customWidth="1" min="5" max="5"/>
    <col width="50" customWidth="1" min="6" max="6"/>
  </cols>
  <sheetData>
    <row r="1" ht="25.5" customHeight="1">
      <c r="A1" s="1" t="inlineStr">
        <is>
          <t>Fontes e Referências — de onde vieram as informações médicas</t>
        </is>
      </c>
    </row>
    <row r="2" ht="55.5" customHeight="1">
      <c r="A2" s="18" t="inlineStr">
        <is>
          <t>Pesquisa feita em 04/09/2026, priorizando bulas oficiais (Anvisa), estudos revisados por pares (PubMed/PMC), órgãos de saúde do governo (NIH) e diretrizes de sociedades médicas (SBC, AHA, ACC/ESC, KDIGO, ESUR, ESVS, ADA/SBD). A coluna 'Área' diz se a fonte é sobre alimentação/interação com alimento ou sobre o quadro clínico em geral. Nenhuma destas fontes substitui a avaliação do seu médico — use como ponto de partida para perguntar e confirmar na consulta. Clique no link da coluna 'Fonte' para abrir a página original.</t>
        </is>
      </c>
    </row>
    <row r="3">
      <c r="A3" s="2" t="inlineStr">
        <is>
          <t>Nº</t>
        </is>
      </c>
      <c r="B3" s="2" t="inlineStr">
        <is>
          <t>Afirmação que a fonte sustenta</t>
        </is>
      </c>
      <c r="C3" s="2" t="inlineStr">
        <is>
          <t>Fonte</t>
        </is>
      </c>
      <c r="D3" s="2" t="inlineStr">
        <is>
          <t>Tipo de fonte</t>
        </is>
      </c>
      <c r="E3" s="2" t="inlineStr">
        <is>
          <t>Área</t>
        </is>
      </c>
      <c r="F3" s="2" t="inlineStr">
        <is>
          <t>URL completa</t>
        </is>
      </c>
    </row>
    <row r="4" ht="36" customHeight="1">
      <c r="A4" s="33" t="n">
        <v>1</v>
      </c>
      <c r="B4" s="34" t="inlineStr">
        <is>
          <t>Suco de toranja em quantidade alta quase dobra o nível de Ticagrelor no sangue e aumenta seu efeito antiagregante</t>
        </is>
      </c>
      <c r="C4" s="35" t="inlineStr">
        <is>
          <t>Holmberg et al., 2013, Br J Clin Pharmacol (PubMed)</t>
        </is>
      </c>
      <c r="D4" s="34" t="inlineStr">
        <is>
          <t>Estudo clínico revisado por pares</t>
        </is>
      </c>
      <c r="E4" s="33" t="inlineStr">
        <is>
          <t>Alimentação</t>
        </is>
      </c>
      <c r="F4" s="36" t="inlineStr">
        <is>
          <t>https://pubmed.ncbi.nlm.nih.gov/23126367/</t>
        </is>
      </c>
    </row>
    <row r="5" ht="36" customHeight="1">
      <c r="A5" s="33" t="n">
        <v>2</v>
      </c>
      <c r="B5" s="34" t="inlineStr">
        <is>
          <t>Bula brasileira do Brilinta (Ticagrelor) cita esse estudo e orienta evitar suco de toranja em grande quantidade</t>
        </is>
      </c>
      <c r="C5" s="35" t="inlineStr">
        <is>
          <t>Bula profissional Brilinta, AstraZeneca do Brasil (aprovada pela Anvisa)</t>
        </is>
      </c>
      <c r="D5" s="34" t="inlineStr">
        <is>
          <t>Bula oficial (Anvisa)</t>
        </is>
      </c>
      <c r="E5" s="33" t="inlineStr">
        <is>
          <t>Alimentação</t>
        </is>
      </c>
      <c r="F5" s="36" t="inlineStr">
        <is>
          <t>https://www.azmed.com.br/content/dam/multibrand/br/pt/azmed-2022/home/bulas-profissionais/bulas/Brilinta_Bula_Profissional.pdf</t>
        </is>
      </c>
    </row>
    <row r="6" ht="36" customHeight="1">
      <c r="A6" s="33" t="n">
        <v>3</v>
      </c>
      <c r="B6" s="34" t="inlineStr">
        <is>
          <t>Enalapril (IECA) + sal light/suplemento de potássio aumenta risco de hipercalemia</t>
        </is>
      </c>
      <c r="C6" s="35" t="inlineStr">
        <is>
          <t>StatPearls (NCBI Bookshelf), "Enalapril"</t>
        </is>
      </c>
      <c r="D6" s="34" t="inlineStr">
        <is>
          <t>Referência clínica revisada por pares</t>
        </is>
      </c>
      <c r="E6" s="33" t="inlineStr">
        <is>
          <t>Alimentação</t>
        </is>
      </c>
      <c r="F6" s="36" t="inlineStr">
        <is>
          <t>https://www.ncbi.nlm.nih.gov/books/NBK557708/</t>
        </is>
      </c>
    </row>
    <row r="7" ht="36" customHeight="1">
      <c r="A7" s="33" t="n">
        <v>4</v>
      </c>
      <c r="B7" s="34" t="inlineStr">
        <is>
          <t>Álcool combinado com Aspirina aumenta o risco de sangramento gastrointestinal alto</t>
        </is>
      </c>
      <c r="C7" s="35" t="inlineStr">
        <is>
          <t>Kaufman et al., 1999, Ann Epidemiol (PubMed)</t>
        </is>
      </c>
      <c r="D7" s="34" t="inlineStr">
        <is>
          <t>Estudo epidemiológico revisado por pares</t>
        </is>
      </c>
      <c r="E7" s="33" t="inlineStr">
        <is>
          <t>Alimentação</t>
        </is>
      </c>
      <c r="F7" s="36" t="inlineStr">
        <is>
          <t>https://pubmed.ncbi.nlm.nih.gov/10566713/</t>
        </is>
      </c>
    </row>
    <row r="8" ht="36" customHeight="1">
      <c r="A8" s="33" t="n">
        <v>5</v>
      </c>
      <c r="B8" s="34" t="inlineStr">
        <is>
          <t>Arroz de levedura vermelha (red yeast rice) pode causar os mesmos efeitos colaterais e interações de uma estatina</t>
        </is>
      </c>
      <c r="C8" s="35" t="inlineStr">
        <is>
          <t>NIH — National Center for Complementary and Integrative Health</t>
        </is>
      </c>
      <c r="D8" s="34" t="inlineStr">
        <is>
          <t>Órgão oficial do governo dos EUA (NIH)</t>
        </is>
      </c>
      <c r="E8" s="33" t="inlineStr">
        <is>
          <t>Alimentação</t>
        </is>
      </c>
      <c r="F8" s="36" t="inlineStr">
        <is>
          <t>https://www.nccih.nih.gov/health/red-yeast-rice</t>
        </is>
      </c>
    </row>
    <row r="9" ht="36" customHeight="1">
      <c r="A9" s="33" t="n">
        <v>6</v>
      </c>
      <c r="B9" s="34" t="inlineStr">
        <is>
          <t>Rosuvastatina não tem interação relevante com toranja (via CYP2C9, diferente da via CYP3A4 usada pelo Ticagrelor)</t>
        </is>
      </c>
      <c r="C9" s="35" t="inlineStr">
        <is>
          <t>Bailey DG et al., 2013, CMAJ, "Grapefruit-medication interactions"</t>
        </is>
      </c>
      <c r="D9" s="34" t="inlineStr">
        <is>
          <t>Revisão científica revisada por pares</t>
        </is>
      </c>
      <c r="E9" s="33" t="inlineStr">
        <is>
          <t>Alimentação</t>
        </is>
      </c>
      <c r="F9" s="36" t="inlineStr">
        <is>
          <t>https://pmc.ncbi.nlm.nih.gov/articles/PMC3589309/</t>
        </is>
      </c>
    </row>
    <row r="10" ht="36" customHeight="1">
      <c r="A10" s="33" t="n">
        <v>7</v>
      </c>
      <c r="B10" s="34" t="inlineStr">
        <is>
          <t>Duração de 12 meses de dupla antiagregação (Aspirina + Ticagrelor) após stent em síndrome coronariana aguda</t>
        </is>
      </c>
      <c r="C10" s="35" t="inlineStr">
        <is>
          <t>2016 ACC/AHA Guideline Focused Update on DAPT; reafirmado na diretriz ACS 2025 (JACC)</t>
        </is>
      </c>
      <c r="D10" s="34" t="inlineStr">
        <is>
          <t>Diretriz de sociedades médicas (ACC/AHA)</t>
        </is>
      </c>
      <c r="E10" s="33" t="inlineStr">
        <is>
          <t>Alimentação</t>
        </is>
      </c>
      <c r="F10" s="36" t="inlineStr">
        <is>
          <t>https://www.acc.org/latest-in-cardiology/ten-points-to-remember/2016/03/25/14/56/2016-acc-aha-guideline-focused-update-on-dapt</t>
        </is>
      </c>
    </row>
    <row r="11" ht="49.5" customHeight="1">
      <c r="A11" s="33" t="n">
        <v>8</v>
      </c>
      <c r="B11" s="34" t="inlineStr">
        <is>
          <t>Metas de LDL pós-infarto: &lt;50 mg/dL (SBC, risco muito alto — já em 2017 e mantida em 2025, tabela usada no laudo do laboratório); &lt;40 mg/dL na categoria "risco extremo" (SBC 2025, com critérios adicionais); &lt;55 mg/dL (ESC/EAS 2019, risco muito alto)</t>
        </is>
      </c>
      <c r="C11" s="35" t="inlineStr">
        <is>
          <t>Diretriz Brasileira de Dislipidemias e Prevenção da Aterosclerose 2025 (SBC), Arq Bras Cardiol</t>
        </is>
      </c>
      <c r="D11" s="34" t="inlineStr">
        <is>
          <t>Diretriz de sociedade médica (SBC)</t>
        </is>
      </c>
      <c r="E11" s="33" t="inlineStr">
        <is>
          <t>Alimentação</t>
        </is>
      </c>
      <c r="F11" s="36" t="inlineStr">
        <is>
          <t>https://www.scielo.br/j/abc/a/tRJrwGzKX6C4GvMqdJpZcGk/?lang=pt</t>
        </is>
      </c>
    </row>
    <row r="12" ht="49.5" customHeight="1">
      <c r="A12" s="33" t="n">
        <v>9</v>
      </c>
      <c r="B12" s="34" t="inlineStr">
        <is>
          <t>Diretriz alimentar cardioprotetora: sódio controlado, gordura saturada &lt;6% das calorias, padrão Mediterrâneo/DASH</t>
        </is>
      </c>
      <c r="C12" s="35" t="inlineStr">
        <is>
          <t>American Heart Association — AHA Diet and Lifestyle Recommendations / 2026 Dietary Guidance to Improve Cardiovascular Health (Circulation)</t>
        </is>
      </c>
      <c r="D12" s="34" t="inlineStr">
        <is>
          <t>Diretriz de sociedade médica (AHA)</t>
        </is>
      </c>
      <c r="E12" s="33" t="inlineStr">
        <is>
          <t>Alimentação</t>
        </is>
      </c>
      <c r="F12" s="36" t="inlineStr">
        <is>
          <t>https://www.heart.org/en/healthy-living/healthy-eating/eat-smart/nutrition-basics/aha-diet-and-lifestyle-recommendations</t>
        </is>
      </c>
    </row>
    <row r="13" ht="36" customHeight="1">
      <c r="A13" s="33" t="n">
        <v>10</v>
      </c>
      <c r="B13" s="34" t="inlineStr">
        <is>
          <t>No Brasil, a Dieta Cardioprotetora Brasileira (DICA Br) aplica essas mesmas recomendações a alimentos típicos brasileiros</t>
        </is>
      </c>
      <c r="C13" s="35" t="inlineStr">
        <is>
          <t>I Diretriz Brasileira de Prevenção Cardiovascular (SBC), Arq Bras Cardiol</t>
        </is>
      </c>
      <c r="D13" s="34" t="inlineStr">
        <is>
          <t>Diretriz de sociedade médica (SBC)</t>
        </is>
      </c>
      <c r="E13" s="33" t="inlineStr">
        <is>
          <t>Alimentação</t>
        </is>
      </c>
      <c r="F13" s="36" t="inlineStr">
        <is>
          <t>https://www.scielo.br/j/abc/a/X94tMKwdnBjkCzVKpXwBqmD/?lang=pt</t>
        </is>
      </c>
    </row>
    <row r="14" ht="36" customHeight="1">
      <c r="A14" s="33" t="n">
        <v>11</v>
      </c>
      <c r="B14" s="34" t="inlineStr">
        <is>
          <t>Critério objetivo de Lesão Renal Aguda (LRA) estágio 1: creatinina sobe ≥0,3 mg/dL em 48h</t>
        </is>
      </c>
      <c r="C14" s="35" t="inlineStr">
        <is>
          <t>KDIGO — Clinical Practice Guideline for Acute Kidney Injury, 2012</t>
        </is>
      </c>
      <c r="D14" s="34" t="inlineStr">
        <is>
          <t>Diretriz de sociedade médica (KDIGO)</t>
        </is>
      </c>
      <c r="E14" s="33" t="inlineStr">
        <is>
          <t>Clínico geral</t>
        </is>
      </c>
      <c r="F14" s="36" t="inlineStr">
        <is>
          <t>https://kdigo.org/wp-content/uploads/2016/10/KDIGO-2012-AKI-Guideline-English.pdf</t>
        </is>
      </c>
    </row>
    <row r="15" ht="36" customHeight="1">
      <c r="A15" s="33" t="n">
        <v>12</v>
      </c>
      <c r="B15" s="34" t="inlineStr">
        <is>
          <t>Exame padrão para proteinúria é a relação albumina/creatinina urinária (ACR/RAC), categorias A1/A2/A3</t>
        </is>
      </c>
      <c r="C15" s="35" t="inlineStr">
        <is>
          <t>KDIGO — Clinical Practice Guideline for CKD, 2012 (categorias mantidas na atualização 2024)</t>
        </is>
      </c>
      <c r="D15" s="34" t="inlineStr">
        <is>
          <t>Diretriz de sociedade médica (KDIGO)</t>
        </is>
      </c>
      <c r="E15" s="33" t="inlineStr">
        <is>
          <t>Clínico geral</t>
        </is>
      </c>
      <c r="F15" s="36" t="inlineStr">
        <is>
          <t>https://kdigo.org/wp-content/uploads/2017/02/KDIGO_2012_CKD_GL.pdf</t>
        </is>
      </c>
    </row>
    <row r="16" ht="36" customHeight="1">
      <c r="A16" s="33" t="n">
        <v>13</v>
      </c>
      <c r="B16" s="34" t="inlineStr">
        <is>
          <t>Múltiplas exposições a contraste em dias próximos são fator de risco para lesão renal por contraste, com pico em 3-5 dias e resolução em 7-14 dias</t>
        </is>
      </c>
      <c r="C16" s="35" t="inlineStr">
        <is>
          <t>ESUR — Post-contrast acute kidney injury, Guidelines v10.0, 2018</t>
        </is>
      </c>
      <c r="D16" s="34" t="inlineStr">
        <is>
          <t>Diretriz de sociedade médica (ESUR)</t>
        </is>
      </c>
      <c r="E16" s="33" t="inlineStr">
        <is>
          <t>Clínico geral</t>
        </is>
      </c>
      <c r="F16" s="36" t="inlineStr">
        <is>
          <t>https://www.esur.org/wp-content/uploads/2022/03/ESUR-Guidelines-10_0-Final-Version.pdf</t>
        </is>
      </c>
    </row>
    <row r="17" ht="36" customHeight="1">
      <c r="A17" s="33" t="n">
        <v>14</v>
      </c>
      <c r="B17" s="34" t="inlineStr">
        <is>
          <t>Definição de infarto periprocedimento (tipo 4a): troponina &gt;5x o limite superior + evidência de nova isquemia</t>
        </is>
      </c>
      <c r="C17" s="35" t="inlineStr">
        <is>
          <t>Thygesen K, Alpert JS et al. — Fourth Universal Definition of Myocardial Infarction, 2018</t>
        </is>
      </c>
      <c r="D17" s="34" t="inlineStr">
        <is>
          <t>Documento conjunto de sociedades médicas (ESC/ACC/AHA/WHF)</t>
        </is>
      </c>
      <c r="E17" s="33" t="inlineStr">
        <is>
          <t>Clínico geral</t>
        </is>
      </c>
      <c r="F17" s="36" t="inlineStr">
        <is>
          <t>https://www.ahajournals.org/doi/10.1161/CIR.0000000000000617</t>
        </is>
      </c>
    </row>
    <row r="18" ht="49.5" customHeight="1">
      <c r="A18" s="33" t="n">
        <v>15</v>
      </c>
      <c r="B18" s="34" t="inlineStr">
        <is>
          <t>Limiares de segurança para manter um IECA (Enalapril): potássio até 5,5 mmol/L e creatinina com alta até 50% (abaixo de 3 mg/dL) são toleráveis; reexame em 1-2 semanas</t>
        </is>
      </c>
      <c r="C18" s="35" t="inlineStr">
        <is>
          <t>ESC — Guidelines for the diagnosis and treatment of acute and chronic heart failure, 2021</t>
        </is>
      </c>
      <c r="D18" s="34" t="inlineStr">
        <is>
          <t>Diretriz de sociedade médica (ESC)</t>
        </is>
      </c>
      <c r="E18" s="33" t="inlineStr">
        <is>
          <t>Clínico geral</t>
        </is>
      </c>
      <c r="F18" s="36" t="inlineStr">
        <is>
          <t>https://academic.oup.com/eurheartj/article/42/36/3599/6358045</t>
        </is>
      </c>
    </row>
    <row r="19" ht="36" customHeight="1">
      <c r="A19" s="33" t="n">
        <v>16</v>
      </c>
      <c r="B19" s="34" t="inlineStr">
        <is>
          <t>Reforço da duração de 12 meses de dupla antiagregação após síndrome coronariana aguda</t>
        </is>
      </c>
      <c r="C19" s="35" t="inlineStr">
        <is>
          <t>ESC — Guidelines for the management of acute coronary syndromes, 2023</t>
        </is>
      </c>
      <c r="D19" s="34" t="inlineStr">
        <is>
          <t>Diretriz de sociedade médica (ESC)</t>
        </is>
      </c>
      <c r="E19" s="33" t="inlineStr">
        <is>
          <t>Clínico geral</t>
        </is>
      </c>
      <c r="F19" s="36" t="inlineStr">
        <is>
          <t>https://academic.oup.com/eurheartj/article/45/14/1193/7516285</t>
        </is>
      </c>
    </row>
    <row r="20" ht="36" customHeight="1">
      <c r="A20" s="33" t="n">
        <v>17</v>
      </c>
      <c r="B20" s="34" t="inlineStr">
        <is>
          <t>Encaminhamento para reabilitação cardíaca antes da alta é recomendação Classe 1 (a mais forte) após síndrome coronariana aguda</t>
        </is>
      </c>
      <c r="C20" s="35" t="inlineStr">
        <is>
          <t>ACC/AHA/ACEP/NAEMSP/SCAI — Guideline for the Management of Patients With Acute Coronary Syndromes, 2025</t>
        </is>
      </c>
      <c r="D20" s="34" t="inlineStr">
        <is>
          <t>Diretriz de sociedades médicas (ACC/AHA e outras)</t>
        </is>
      </c>
      <c r="E20" s="33" t="inlineStr">
        <is>
          <t>Clínico geral</t>
        </is>
      </c>
      <c r="F20" s="36" t="inlineStr">
        <is>
          <t>https://www.ahajournals.org/doi/10.1161/CIR.0000000000001309</t>
        </is>
      </c>
    </row>
    <row r="21" ht="36" customHeight="1">
      <c r="A21" s="33" t="n">
        <v>18</v>
      </c>
      <c r="B21" s="34" t="inlineStr">
        <is>
          <t>Estudo que sustenta a combinação estatina + ezetimiba para reduzir LDL após síndrome coronariana aguda (IMPROVE-IT)</t>
        </is>
      </c>
      <c r="C21" s="35" t="inlineStr">
        <is>
          <t>Cannon CP et al. — Ezetimibe Added to Statin Therapy after Acute Coronary Syndromes, N Engl J Med 2015</t>
        </is>
      </c>
      <c r="D21" s="34" t="inlineStr">
        <is>
          <t>Estudo clínico revisado por pares</t>
        </is>
      </c>
      <c r="E21" s="33" t="inlineStr">
        <is>
          <t>Alimentação</t>
        </is>
      </c>
      <c r="F21" s="36" t="inlineStr">
        <is>
          <t>https://www.nejm.org/doi/full/10.1056/NEJMoa1410489</t>
        </is>
      </c>
    </row>
    <row r="22" ht="36" customHeight="1">
      <c r="A22" s="33" t="n">
        <v>19</v>
      </c>
      <c r="B22" s="34" t="inlineStr">
        <is>
          <t>HbA1c ≥6,5% sugere diabetes; 5,7 a 6,4% é faixa de risco aumentado (pré-diabetes). Paciente: 5,5% na internação, mas 5,9% em 01/10/2026 (e 6,0% em 2022, 5,9% em 2025) — o valor da internação parece fora da curva; perguntar ao médico</t>
        </is>
      </c>
      <c r="C22" s="35" t="inlineStr">
        <is>
          <t>American Diabetes Association — Standards of Care in Diabetes 2026: seção 2, Diagnóstico (Diabetes Care 2026;49 Supl. 1:S27–S49, citada no próprio laudo) e seção 16, Hospital (link)</t>
        </is>
      </c>
      <c r="D22" s="34" t="inlineStr">
        <is>
          <t>Diretriz de sociedade médica (ADA)</t>
        </is>
      </c>
      <c r="E22" s="33" t="inlineStr">
        <is>
          <t>Clínico geral</t>
        </is>
      </c>
      <c r="F22" s="36" t="inlineStr">
        <is>
          <t>https://diabetesjournals.org/care/article/49/Supplement_1/S339/163925/16-Diabetes-Care-in-the-Hospital-Standards-of-Care</t>
        </is>
      </c>
    </row>
    <row r="23" ht="36" customHeight="1">
      <c r="A23" s="33" t="n">
        <v>20</v>
      </c>
      <c r="B23" s="34" t="inlineStr">
        <is>
          <t>Até 60% dos pacientes com hiperglicemia de estresse na internação desenvolvem diabetes em 6-12 meses</t>
        </is>
      </c>
      <c r="C23" s="35" t="inlineStr">
        <is>
          <t>Sociedade Brasileira de Diabetes — Hiperglicemia Hospitalar no Paciente Não-Crítico</t>
        </is>
      </c>
      <c r="D23" s="34" t="inlineStr">
        <is>
          <t>Diretriz de sociedade médica (SBD)</t>
        </is>
      </c>
      <c r="E23" s="33" t="inlineStr">
        <is>
          <t>Clínico geral</t>
        </is>
      </c>
      <c r="F23" s="36" t="inlineStr">
        <is>
          <t>https://diretriz.diabetes.org.br/hiperglicemia-hospitalar-em-paciente-nao-critico/</t>
        </is>
      </c>
    </row>
    <row r="24" ht="36" customHeight="1">
      <c r="A24" s="33" t="n">
        <v>21</v>
      </c>
      <c r="B24" s="34" t="inlineStr">
        <is>
          <t>Placa carotídea com estenose abaixo de 50% é tratada de forma conservadora (antiagregante, estatina, controle de pressão), sem indicação de cirurgia</t>
        </is>
      </c>
      <c r="C24" s="35" t="inlineStr">
        <is>
          <t>ESC/ESVS — Guidelines on Peripheral Arterial Diseases (2017/2018) e atualização sobre doença carotídea/vertebral (2023)</t>
        </is>
      </c>
      <c r="D24" s="34" t="inlineStr">
        <is>
          <t>Diretriz de sociedade médica (ESC/ESVS)</t>
        </is>
      </c>
      <c r="E24" s="33" t="inlineStr">
        <is>
          <t>Clínico geral</t>
        </is>
      </c>
      <c r="F24" s="36" t="inlineStr">
        <is>
          <t>https://academic.oup.com/eurheartj/article/39/9/763/4095038</t>
        </is>
      </c>
    </row>
    <row r="25" ht="36" customHeight="1">
      <c r="A25" s="33" t="n">
        <v>22</v>
      </c>
      <c r="B25" s="34" t="inlineStr">
        <is>
          <t>Mesma conduta conservadora para placa carotídea leve, do lado da prevenção de AVC</t>
        </is>
      </c>
      <c r="C25" s="35" t="inlineStr">
        <is>
          <t>AHA/ASA — Guideline for the Prevention of Stroke in Patients With Stroke and TIA, 2021</t>
        </is>
      </c>
      <c r="D25" s="34" t="inlineStr">
        <is>
          <t>Diretriz de sociedade médica (AHA/ASA)</t>
        </is>
      </c>
      <c r="E25" s="33" t="inlineStr">
        <is>
          <t>Clínico geral</t>
        </is>
      </c>
      <c r="F25" s="36" t="inlineStr">
        <is>
          <t>https://www.ahajournals.org/doi/10.1161/STR.0000000000000375</t>
        </is>
      </c>
    </row>
    <row r="27" ht="24" customHeight="1">
      <c r="A27" s="18" t="inlineStr">
        <is>
          <t>Lista completa com os mesmos links (mais fácil de clicar em Markdown) também em referencia/historico-tratamento.md, seção 'Referências médicas'.</t>
        </is>
      </c>
    </row>
  </sheetData>
  <mergeCells count="3">
    <mergeCell ref="A2:F2"/>
    <mergeCell ref="A1:F1"/>
    <mergeCell ref="A27:F27"/>
  </mergeCells>
  <hyperlinks>
    <hyperlink xmlns:r="http://schemas.openxmlformats.org/officeDocument/2006/relationships" ref="C4" r:id="rId1"/>
    <hyperlink xmlns:r="http://schemas.openxmlformats.org/officeDocument/2006/relationships" ref="C5"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59"/>
  <sheetViews>
    <sheetView workbookViewId="0">
      <selection activeCell="A1" sqref="A1"/>
    </sheetView>
  </sheetViews>
  <sheetFormatPr baseColWidth="8" defaultRowHeight="15"/>
  <sheetData>
    <row r="1">
      <c r="A1" t="inlineStr">
        <is>
          <t>Alimento</t>
        </is>
      </c>
      <c r="B1" t="inlineStr">
        <is>
          <t>Categoria</t>
        </is>
      </c>
      <c r="C1" t="inlineStr">
        <is>
          <t>Classificação</t>
        </is>
      </c>
      <c r="D1" t="inlineStr">
        <is>
          <t>Porção</t>
        </is>
      </c>
      <c r="E1" t="inlineStr">
        <is>
          <t>Frequência</t>
        </is>
      </c>
      <c r="F1" t="inlineStr">
        <is>
          <t>Observação</t>
        </is>
      </c>
      <c r="G1" t="inlineStr">
        <is>
          <t>Café da manhã</t>
        </is>
      </c>
      <c r="H1" t="inlineStr">
        <is>
          <t>Almoço</t>
        </is>
      </c>
      <c r="I1" t="inlineStr">
        <is>
          <t>Lanche</t>
        </is>
      </c>
      <c r="J1" t="inlineStr">
        <is>
          <t>Jantar</t>
        </is>
      </c>
      <c r="L1" t="inlineStr">
        <is>
          <t>Lista — Café da manhã</t>
        </is>
      </c>
      <c r="M1" t="inlineStr">
        <is>
          <t>Lista — Almoço</t>
        </is>
      </c>
      <c r="N1" t="inlineStr">
        <is>
          <t>Lista — Lanche</t>
        </is>
      </c>
      <c r="O1" t="inlineStr">
        <is>
          <t>Lista — Jantar</t>
        </is>
      </c>
      <c r="Q1" t="inlineStr">
        <is>
          <t>Chave (Categoria|Refeição)</t>
        </is>
      </c>
      <c r="R1" t="inlineStr">
        <is>
          <t>Alimento em destaque</t>
        </is>
      </c>
      <c r="T1" t="inlineStr">
        <is>
          <t>Categoria escolhida</t>
        </is>
      </c>
      <c r="U1" t="inlineStr">
        <is>
          <t>Categoria sugerida</t>
        </is>
      </c>
    </row>
    <row r="2">
      <c r="A2" t="inlineStr">
        <is>
          <t>Maçã fuji (com casca)</t>
        </is>
      </c>
      <c r="B2" t="inlineStr">
        <is>
          <t>Frutas</t>
        </is>
      </c>
      <c r="C2" t="inlineStr">
        <is>
          <t>Liberado</t>
        </is>
      </c>
      <c r="D2" t="inlineStr">
        <is>
          <t>1 unidade</t>
        </is>
      </c>
      <c r="E2" t="inlineStr">
        <is>
          <t>1x/dia</t>
        </is>
      </c>
      <c r="F2" t="inlineStr">
        <is>
          <t>Vale para maçã em geral, com casca (mais fibra) — Fuji é só um pouco mais doce que outras variedades, sem diferença relevante para o quadro do paciente.</t>
        </is>
      </c>
      <c r="G2" t="inlineStr">
        <is>
          <t>X</t>
        </is>
      </c>
      <c r="H2" t="inlineStr"/>
      <c r="I2" t="inlineStr">
        <is>
          <t>X</t>
        </is>
      </c>
      <c r="J2" t="inlineStr"/>
      <c r="L2" t="inlineStr">
        <is>
          <t>Maçã fuji (com casca)</t>
        </is>
      </c>
      <c r="M2" t="inlineStr">
        <is>
          <t>Arroz integral</t>
        </is>
      </c>
      <c r="N2" t="inlineStr">
        <is>
          <t>Maçã fuji (com casca)</t>
        </is>
      </c>
      <c r="O2" t="inlineStr">
        <is>
          <t>Arroz integral</t>
        </is>
      </c>
      <c r="Q2" t="inlineStr">
        <is>
          <t>Frutas|Café da manhã</t>
        </is>
      </c>
      <c r="R2" t="inlineStr">
        <is>
          <t>Maçã fuji (com casca)</t>
        </is>
      </c>
      <c r="T2" t="inlineStr">
        <is>
          <t>Laticínios</t>
        </is>
      </c>
      <c r="U2" t="inlineStr">
        <is>
          <t>Grãos e Cereais</t>
        </is>
      </c>
    </row>
    <row r="3">
      <c r="A3" t="inlineStr">
        <is>
          <t>Banana</t>
        </is>
      </c>
      <c r="B3" t="inlineStr">
        <is>
          <t>Frutas</t>
        </is>
      </c>
      <c r="C3" t="inlineStr">
        <is>
          <t>Liberado</t>
        </is>
      </c>
      <c r="D3" t="inlineStr">
        <is>
          <t>1 unidade</t>
        </is>
      </c>
      <c r="E3" t="inlineStr">
        <is>
          <t>1x/dia</t>
        </is>
      </c>
      <c r="F3" t="inlineStr"/>
      <c r="G3" t="inlineStr">
        <is>
          <t>X</t>
        </is>
      </c>
      <c r="H3" t="inlineStr"/>
      <c r="I3" t="inlineStr">
        <is>
          <t>X</t>
        </is>
      </c>
      <c r="J3" t="inlineStr"/>
      <c r="L3" t="inlineStr">
        <is>
          <t>Banana</t>
        </is>
      </c>
      <c r="M3" t="inlineStr">
        <is>
          <t>Peixe</t>
        </is>
      </c>
      <c r="N3" t="inlineStr">
        <is>
          <t>Banana</t>
        </is>
      </c>
      <c r="O3" t="inlineStr">
        <is>
          <t>Peixe</t>
        </is>
      </c>
      <c r="Q3" t="inlineStr">
        <is>
          <t>Grãos e Cereais|Café da manhã</t>
        </is>
      </c>
      <c r="R3" t="inlineStr">
        <is>
          <t>Aveia integral em flocos</t>
        </is>
      </c>
      <c r="T3" t="inlineStr">
        <is>
          <t>Grãos e Cereais</t>
        </is>
      </c>
      <c r="U3" t="inlineStr">
        <is>
          <t>Laticínios</t>
        </is>
      </c>
    </row>
    <row r="4">
      <c r="A4" t="inlineStr">
        <is>
          <t>Uva</t>
        </is>
      </c>
      <c r="B4" t="inlineStr">
        <is>
          <t>Frutas</t>
        </is>
      </c>
      <c r="C4" t="inlineStr">
        <is>
          <t>Moderar</t>
        </is>
      </c>
      <c r="D4" t="inlineStr">
        <is>
          <t>200 g</t>
        </is>
      </c>
      <c r="E4" t="inlineStr">
        <is>
          <t>1x/semana</t>
        </is>
      </c>
      <c r="F4" t="inlineStr">
        <is>
          <t>Mais açúcar que outras frutas</t>
        </is>
      </c>
      <c r="G4" t="inlineStr">
        <is>
          <t>X</t>
        </is>
      </c>
      <c r="H4" t="inlineStr"/>
      <c r="I4" t="inlineStr">
        <is>
          <t>X</t>
        </is>
      </c>
      <c r="J4" t="inlineStr"/>
      <c r="L4" t="inlineStr">
        <is>
          <t>Abacate</t>
        </is>
      </c>
      <c r="M4" t="inlineStr">
        <is>
          <t>Sashimi de salmão</t>
        </is>
      </c>
      <c r="N4" t="inlineStr">
        <is>
          <t>Abacate</t>
        </is>
      </c>
      <c r="O4" t="inlineStr">
        <is>
          <t>Sashimi de salmão</t>
        </is>
      </c>
      <c r="Q4" t="inlineStr">
        <is>
          <t>Proteínas|Café da manhã</t>
        </is>
      </c>
      <c r="R4" t="inlineStr">
        <is>
          <t>Ovo</t>
        </is>
      </c>
      <c r="T4" t="inlineStr">
        <is>
          <t>Proteínas</t>
        </is>
      </c>
      <c r="U4" t="inlineStr">
        <is>
          <t>Vegetais e Verduras</t>
        </is>
      </c>
    </row>
    <row r="5">
      <c r="A5" t="inlineStr">
        <is>
          <t>Manga</t>
        </is>
      </c>
      <c r="B5" t="inlineStr">
        <is>
          <t>Frutas</t>
        </is>
      </c>
      <c r="C5" t="inlineStr">
        <is>
          <t>Moderar</t>
        </is>
      </c>
      <c r="D5" t="inlineStr">
        <is>
          <t>200 g</t>
        </is>
      </c>
      <c r="E5" t="inlineStr">
        <is>
          <t>1x/semana</t>
        </is>
      </c>
      <c r="F5" t="inlineStr">
        <is>
          <t>Mais açúcar que outras frutas</t>
        </is>
      </c>
      <c r="G5" t="inlineStr">
        <is>
          <t>X</t>
        </is>
      </c>
      <c r="H5" t="inlineStr"/>
      <c r="I5" t="inlineStr">
        <is>
          <t>X</t>
        </is>
      </c>
      <c r="J5" t="inlineStr"/>
      <c r="L5" t="inlineStr">
        <is>
          <t>Aveia integral em flocos</t>
        </is>
      </c>
      <c r="M5" t="inlineStr">
        <is>
          <t>Frango sem pele</t>
        </is>
      </c>
      <c r="N5" t="inlineStr">
        <is>
          <t>Pão de forma integral</t>
        </is>
      </c>
      <c r="O5" t="inlineStr">
        <is>
          <t>Frango sem pele</t>
        </is>
      </c>
      <c r="Q5" t="inlineStr">
        <is>
          <t>Laticínios|Café da manhã</t>
        </is>
      </c>
      <c r="R5" t="inlineStr">
        <is>
          <t>Leite desnatado</t>
        </is>
      </c>
      <c r="T5" t="inlineStr">
        <is>
          <t>Vegetais e Verduras</t>
        </is>
      </c>
      <c r="U5" t="inlineStr">
        <is>
          <t>Proteínas</t>
        </is>
      </c>
    </row>
    <row r="6">
      <c r="A6" t="inlineStr">
        <is>
          <t>Abacate</t>
        </is>
      </c>
      <c r="B6" t="inlineStr">
        <is>
          <t>Frutas</t>
        </is>
      </c>
      <c r="C6" t="inlineStr">
        <is>
          <t>Liberado</t>
        </is>
      </c>
      <c r="D6" t="inlineStr">
        <is>
          <t>2 colheres de sopa</t>
        </is>
      </c>
      <c r="E6" t="inlineStr">
        <is>
          <t>1x/dia</t>
        </is>
      </c>
      <c r="F6" t="inlineStr">
        <is>
          <t>Gordura boa, mas calórico</t>
        </is>
      </c>
      <c r="G6" t="inlineStr">
        <is>
          <t>X</t>
        </is>
      </c>
      <c r="H6" t="inlineStr"/>
      <c r="I6" t="inlineStr">
        <is>
          <t>X</t>
        </is>
      </c>
      <c r="J6" t="inlineStr"/>
      <c r="L6" t="inlineStr">
        <is>
          <t>Pão de forma integral</t>
        </is>
      </c>
      <c r="M6" t="inlineStr">
        <is>
          <t>Ovo</t>
        </is>
      </c>
      <c r="N6" t="inlineStr">
        <is>
          <t>Pão francês integral (multigrãos)</t>
        </is>
      </c>
      <c r="O6" t="inlineStr">
        <is>
          <t>Ovo</t>
        </is>
      </c>
      <c r="Q6" t="inlineStr">
        <is>
          <t>Bebidas|Café da manhã</t>
        </is>
      </c>
      <c r="R6" t="inlineStr">
        <is>
          <t>Água</t>
        </is>
      </c>
      <c r="T6" t="inlineStr">
        <is>
          <t>Bebidas</t>
        </is>
      </c>
      <c r="U6" t="inlineStr">
        <is>
          <t>Proteínas</t>
        </is>
      </c>
    </row>
    <row r="7">
      <c r="A7" t="inlineStr">
        <is>
          <t>Toranja / grapefruit</t>
        </is>
      </c>
      <c r="B7" t="inlineStr">
        <is>
          <t>Frutas</t>
        </is>
      </c>
      <c r="C7" t="inlineStr">
        <is>
          <t>Evitar</t>
        </is>
      </c>
      <c r="D7" t="inlineStr">
        <is>
          <t>-</t>
        </is>
      </c>
      <c r="E7" t="inlineStr">
        <is>
          <t>evitar</t>
        </is>
      </c>
      <c r="F7" t="inlineStr">
        <is>
          <t>Interage com o Ticagrelor (estudo mostrou quase o dobro do nível do remédio no sangue); a bula diz que não é esperado ser clinicamente relevante p/ a maioria, mas orienta evitar — mais seguro evitar, já que você toma 2 antiagregantes. Ver aba Fontes e Referências.</t>
        </is>
      </c>
      <c r="G7" t="inlineStr">
        <is>
          <t>X</t>
        </is>
      </c>
      <c r="H7" t="inlineStr"/>
      <c r="I7" t="inlineStr">
        <is>
          <t>X</t>
        </is>
      </c>
      <c r="J7" t="inlineStr"/>
      <c r="L7" t="inlineStr">
        <is>
          <t>Pão francês integral (multigrãos)</t>
        </is>
      </c>
      <c r="M7" t="inlineStr">
        <is>
          <t>Feijão / leguminosas</t>
        </is>
      </c>
      <c r="N7" t="inlineStr">
        <is>
          <t>Granola zero açúcar</t>
        </is>
      </c>
      <c r="O7" t="inlineStr">
        <is>
          <t>Feijão / leguminosas</t>
        </is>
      </c>
      <c r="Q7" t="inlineStr">
        <is>
          <t>Doces e Sobremesas|Café da manhã</t>
        </is>
      </c>
      <c r="R7" t="inlineStr">
        <is>
          <t>Açúcar refinado</t>
        </is>
      </c>
      <c r="T7" t="inlineStr">
        <is>
          <t>Frutas</t>
        </is>
      </c>
      <c r="U7" t="inlineStr">
        <is>
          <t>Laticínios</t>
        </is>
      </c>
    </row>
    <row r="8">
      <c r="A8" t="inlineStr">
        <is>
          <t>Arroz integral</t>
        </is>
      </c>
      <c r="B8" t="inlineStr">
        <is>
          <t>Grãos e Cereais</t>
        </is>
      </c>
      <c r="C8" t="inlineStr">
        <is>
          <t>Liberado</t>
        </is>
      </c>
      <c r="D8" t="inlineStr">
        <is>
          <t>200 g (cozido)</t>
        </is>
      </c>
      <c r="E8" t="inlineStr">
        <is>
          <t>quase todo dia</t>
        </is>
      </c>
      <c r="F8" t="inlineStr"/>
      <c r="G8" t="inlineStr"/>
      <c r="H8" t="inlineStr">
        <is>
          <t>X</t>
        </is>
      </c>
      <c r="I8" t="inlineStr"/>
      <c r="J8" t="inlineStr">
        <is>
          <t>X</t>
        </is>
      </c>
      <c r="L8" t="inlineStr">
        <is>
          <t>Granola zero açúcar</t>
        </is>
      </c>
      <c r="M8" t="inlineStr">
        <is>
          <t>Água</t>
        </is>
      </c>
      <c r="N8" t="inlineStr">
        <is>
          <t>Granola zero açúcar</t>
        </is>
      </c>
      <c r="O8" t="inlineStr">
        <is>
          <t>Água</t>
        </is>
      </c>
      <c r="Q8" t="inlineStr">
        <is>
          <t>Gorduras e Temperos|Café da manhã</t>
        </is>
      </c>
      <c r="R8" t="inlineStr">
        <is>
          <t>Creme de tahine</t>
        </is>
      </c>
      <c r="T8" t="inlineStr">
        <is>
          <t>Doces e Sobremesas</t>
        </is>
      </c>
      <c r="U8" t="inlineStr">
        <is>
          <t>Frutas</t>
        </is>
      </c>
    </row>
    <row r="9">
      <c r="A9" t="inlineStr">
        <is>
          <t>Arroz branco</t>
        </is>
      </c>
      <c r="B9" t="inlineStr">
        <is>
          <t>Grãos e Cereais</t>
        </is>
      </c>
      <c r="C9" t="inlineStr">
        <is>
          <t>Moderar</t>
        </is>
      </c>
      <c r="D9" t="inlineStr">
        <is>
          <t>200 g (cozido)</t>
        </is>
      </c>
      <c r="E9" t="inlineStr">
        <is>
          <t>2x/semana</t>
        </is>
      </c>
      <c r="F9" t="inlineStr">
        <is>
          <t>Preferir integral no restante da semana</t>
        </is>
      </c>
      <c r="G9" t="inlineStr"/>
      <c r="H9" t="inlineStr">
        <is>
          <t>X</t>
        </is>
      </c>
      <c r="I9" t="inlineStr"/>
      <c r="J9" t="inlineStr">
        <is>
          <t>X</t>
        </is>
      </c>
      <c r="L9" t="inlineStr">
        <is>
          <t>Granola zero açúcar</t>
        </is>
      </c>
      <c r="M9" t="inlineStr">
        <is>
          <t>Azeite de oliva extra virgem</t>
        </is>
      </c>
      <c r="N9" t="inlineStr">
        <is>
          <t>Leite desnatado</t>
        </is>
      </c>
      <c r="O9" t="inlineStr">
        <is>
          <t>Azeite de oliva extra virgem</t>
        </is>
      </c>
      <c r="Q9" t="inlineStr">
        <is>
          <t>Vegetais e Verduras|Café da manhã</t>
        </is>
      </c>
      <c r="R9" t="inlineStr">
        <is>
          <t>Vegetais e verduras em geral</t>
        </is>
      </c>
      <c r="T9" t="inlineStr">
        <is>
          <t>Gorduras e Temperos</t>
        </is>
      </c>
      <c r="U9" t="inlineStr">
        <is>
          <t>Vegetais e Verduras</t>
        </is>
      </c>
    </row>
    <row r="10">
      <c r="A10" t="inlineStr">
        <is>
          <t>Aveia integral em flocos</t>
        </is>
      </c>
      <c r="B10" t="inlineStr">
        <is>
          <t>Grãos e Cereais</t>
        </is>
      </c>
      <c r="C10" t="inlineStr">
        <is>
          <t>Liberado</t>
        </is>
      </c>
      <c r="D10" t="inlineStr">
        <is>
          <t>4 colheres de sopa (~30 g)</t>
        </is>
      </c>
      <c r="E10" t="inlineStr">
        <is>
          <t>1x/dia</t>
        </is>
      </c>
      <c r="F10" t="inlineStr">
        <is>
          <t>Rótulo real: 110 kcal, 2,8 g de fibra (1,2 g de beta-glucana — a fibra solúvel que ajuda a reduzir o colesterol), sem açúcar adicionado, 0 mg de sódio.</t>
        </is>
      </c>
      <c r="G10" t="inlineStr">
        <is>
          <t>X</t>
        </is>
      </c>
      <c r="H10" t="inlineStr"/>
      <c r="I10" t="inlineStr"/>
      <c r="J10" t="inlineStr"/>
      <c r="L10" t="inlineStr">
        <is>
          <t>Ovo</t>
        </is>
      </c>
      <c r="M10" t="inlineStr">
        <is>
          <t>Creme de tahine</t>
        </is>
      </c>
      <c r="N10" t="inlineStr">
        <is>
          <t>Queijo branco frescal</t>
        </is>
      </c>
      <c r="O10" t="inlineStr">
        <is>
          <t>Creme de tahine</t>
        </is>
      </c>
      <c r="Q10" t="inlineStr">
        <is>
          <t>Grãos e Cereais|Almoço</t>
        </is>
      </c>
      <c r="R10" t="inlineStr">
        <is>
          <t>Arroz integral</t>
        </is>
      </c>
    </row>
    <row r="11">
      <c r="A11" t="inlineStr">
        <is>
          <t>Pão de forma integral</t>
        </is>
      </c>
      <c r="B11" t="inlineStr">
        <is>
          <t>Grãos e Cereais</t>
        </is>
      </c>
      <c r="C11" t="inlineStr">
        <is>
          <t>Liberado</t>
        </is>
      </c>
      <c r="D11" t="inlineStr">
        <is>
          <t>2 fatias</t>
        </is>
      </c>
      <c r="E11" t="inlineStr">
        <is>
          <t>1x/dia</t>
        </is>
      </c>
      <c r="F11" t="inlineStr"/>
      <c r="G11" t="inlineStr">
        <is>
          <t>X</t>
        </is>
      </c>
      <c r="H11" t="inlineStr"/>
      <c r="I11" t="inlineStr">
        <is>
          <t>X</t>
        </is>
      </c>
      <c r="J11" t="inlineStr"/>
      <c r="L11" t="inlineStr">
        <is>
          <t>Leite desnatado</t>
        </is>
      </c>
      <c r="M11" t="inlineStr">
        <is>
          <t>Ervas e temperos naturais</t>
        </is>
      </c>
      <c r="N11" t="inlineStr">
        <is>
          <t>Queijo frescal light</t>
        </is>
      </c>
      <c r="O11" t="inlineStr">
        <is>
          <t>Ervas e temperos naturais</t>
        </is>
      </c>
      <c r="Q11" t="inlineStr">
        <is>
          <t>Proteínas|Almoço</t>
        </is>
      </c>
      <c r="R11" t="inlineStr">
        <is>
          <t>Peixe</t>
        </is>
      </c>
    </row>
    <row r="12">
      <c r="A12" t="inlineStr">
        <is>
          <t>Pão francês integral (multigrãos)</t>
        </is>
      </c>
      <c r="B12" t="inlineStr">
        <is>
          <t>Grãos e Cereais</t>
        </is>
      </c>
      <c r="C12" t="inlineStr">
        <is>
          <t>Liberado</t>
        </is>
      </c>
      <c r="D12" t="inlineStr">
        <is>
          <t>1 unidade (~67 g)</t>
        </is>
      </c>
      <c r="E12" t="inlineStr">
        <is>
          <t>1x/dia</t>
        </is>
      </c>
      <c r="F12" t="inlineStr">
        <is>
          <t>Rótulo real (porção 50 g/meia unidade): 120 kcal, 208 mg de sódio, 1,6 g de fibras, sem açúcar adicionado. Com centeio, gergelim e linhaça — boa fonte de fibra, mas sódio moderado como a maioria dos pães; contém glúten.</t>
        </is>
      </c>
      <c r="G12" t="inlineStr">
        <is>
          <t>X</t>
        </is>
      </c>
      <c r="H12" t="inlineStr"/>
      <c r="I12" t="inlineStr">
        <is>
          <t>X</t>
        </is>
      </c>
      <c r="J12" t="inlineStr"/>
      <c r="L12" t="inlineStr">
        <is>
          <t>Queijo branco frescal</t>
        </is>
      </c>
      <c r="M12" t="inlineStr">
        <is>
          <t>Vegetais e verduras em geral</t>
        </is>
      </c>
      <c r="N12" t="inlineStr">
        <is>
          <t>Iogurte natural (desnatado, sem açúcar)</t>
        </is>
      </c>
      <c r="O12" t="inlineStr">
        <is>
          <t>Vegetais e verduras em geral</t>
        </is>
      </c>
      <c r="Q12" t="inlineStr">
        <is>
          <t>Bebidas|Almoço</t>
        </is>
      </c>
      <c r="R12" t="inlineStr">
        <is>
          <t>Água</t>
        </is>
      </c>
    </row>
    <row r="13">
      <c r="A13" t="inlineStr">
        <is>
          <t>Tortilha</t>
        </is>
      </c>
      <c r="B13" t="inlineStr">
        <is>
          <t>Grãos e Cereais</t>
        </is>
      </c>
      <c r="C13" t="inlineStr">
        <is>
          <t>Moderar</t>
        </is>
      </c>
      <c r="D13" t="inlineStr">
        <is>
          <t>1 unidade (33 g)</t>
        </is>
      </c>
      <c r="E13" t="inlineStr">
        <is>
          <t>3x/semana</t>
        </is>
      </c>
      <c r="F13" t="inlineStr">
        <is>
          <t>Rótulo real: a porção declarada no rótulo é 40 g (1 tortilha de 33 g + um pedaço), com 120 kcal, 170 mg de sódio, 1,6 g de gordura saturada e 1,2 g de fibras. Para 1 tortilha inteira (33 g), isso equivale a ~99 kcal, 140 mg de sódio, 1,3 g de gordura saturada, 1,0 g de fibra, 0 g de gordura trans e 0,2 g de açúcar adicionado. Comparando dentro desta planilha: 1 pão francês integral tem cerca do dobro do sódio (279 mg) — o ponto de atenção da tortilha é mais a gordura saturada (4,0 g/100 g, acima do típico de uma tortilha simples) do que o sódio. Contém glúten (triticale). Sugestão gerada por IA — confirmar com nutricionista/cardiologista.</t>
        </is>
      </c>
      <c r="G13" t="inlineStr">
        <is>
          <t>X</t>
        </is>
      </c>
      <c r="H13" t="inlineStr">
        <is>
          <t>X</t>
        </is>
      </c>
      <c r="I13" t="inlineStr">
        <is>
          <t>X</t>
        </is>
      </c>
      <c r="J13" t="inlineStr">
        <is>
          <t>X</t>
        </is>
      </c>
      <c r="L13" t="inlineStr">
        <is>
          <t>Queijo frescal light</t>
        </is>
      </c>
      <c r="M13" t="inlineStr">
        <is>
          <t>Brócolis</t>
        </is>
      </c>
      <c r="N13" t="inlineStr">
        <is>
          <t>Iogurte grego zero</t>
        </is>
      </c>
      <c r="O13" t="inlineStr">
        <is>
          <t>Brócolis</t>
        </is>
      </c>
      <c r="Q13" t="inlineStr">
        <is>
          <t>Doces e Sobremesas|Almoço</t>
        </is>
      </c>
      <c r="R13" t="inlineStr">
        <is>
          <t>Açúcar refinado</t>
        </is>
      </c>
    </row>
    <row r="14">
      <c r="A14" t="inlineStr">
        <is>
          <t>Granola zero açúcar</t>
        </is>
      </c>
      <c r="B14" t="inlineStr">
        <is>
          <t>Grãos e Cereais</t>
        </is>
      </c>
      <c r="C14" t="inlineStr">
        <is>
          <t>Liberado</t>
        </is>
      </c>
      <c r="D14" t="inlineStr">
        <is>
          <t>20 g (1 colher de sopa)</t>
        </is>
      </c>
      <c r="E14" t="inlineStr">
        <is>
          <t>1x/dia</t>
        </is>
      </c>
      <c r="F14" t="inlineStr">
        <is>
          <t>Rótulo real (porção 20 g): 83 kcal, 2,8 g de gordura (0,9 g saturada), 12 g de carboidrato, 1,1 g de açúcar (zero adicionado, adoçada com esteviol), 3 g de proteína, 2 g de fibra e 19 mg de sódio. Feita com aveia, coco, amêndoa, castanha de caju, castanha do pará e uva-passa — sem açúcar refinado, mas é calórica (415 kcal/100 g) e tem gordura saturada das castanhas/coco: manter na porção indicada, sem repetir a colher. Contém glúten; rótulo declara conter lactose (apesar de não haver laticínio nos ingredientes — provavelmente contaminação cruzada declarada); pode conter amendoim, avelã, centeio, leite, macadâmia, nozes, ovos, pecã, soja e trigo.</t>
        </is>
      </c>
      <c r="G14" t="inlineStr">
        <is>
          <t>X</t>
        </is>
      </c>
      <c r="H14" t="inlineStr"/>
      <c r="I14" t="inlineStr">
        <is>
          <t>X</t>
        </is>
      </c>
      <c r="J14" t="inlineStr"/>
      <c r="L14" t="inlineStr">
        <is>
          <t>Iogurte natural (desnatado, sem açúcar)</t>
        </is>
      </c>
      <c r="M14" t="inlineStr">
        <is>
          <t>Couve</t>
        </is>
      </c>
      <c r="N14" t="inlineStr">
        <is>
          <t>Água</t>
        </is>
      </c>
      <c r="O14" t="inlineStr">
        <is>
          <t>Couve</t>
        </is>
      </c>
      <c r="Q14" t="inlineStr">
        <is>
          <t>Gorduras e Temperos|Almoço</t>
        </is>
      </c>
      <c r="R14" t="inlineStr">
        <is>
          <t>Azeite de oliva extra virgem</t>
        </is>
      </c>
    </row>
    <row r="15">
      <c r="A15" t="inlineStr">
        <is>
          <t>Granola zero açúcar</t>
        </is>
      </c>
      <c r="B15" t="inlineStr">
        <is>
          <t>Grãos e Cereais</t>
        </is>
      </c>
      <c r="C15" t="inlineStr">
        <is>
          <t>Liberado</t>
        </is>
      </c>
      <c r="D15" t="inlineStr">
        <is>
          <t>20 g (1 colher de sopa)</t>
        </is>
      </c>
      <c r="E15" t="inlineStr">
        <is>
          <t>1x/dia</t>
        </is>
      </c>
      <c r="F15" t="inlineStr">
        <is>
          <t>Rótulo real (a porção do rótulo é 40 g/½ xícara; valores abaixo recalculados para 20 g, para manter a mesma porção das demais granolas da planilha): ~91 kcal, 3,6 g de gordura (0,7 g saturada, 0 g trans), 12 g de carboidrato, 0,3 g de açúcar total e zero adicionado (adoçada com eritritol, maltitol e glicosídeos de esteviol — polióis, geralmente bem tolerados nessa quantidade), 2,2 g de proteína, 1,6 g de fibra, só 1,3 mg de sódio (praticamente sem sódio). Leva castanha-do-pará, castanha-de-caju, coco e óleo vegetal — por isso é calórica (455 kcal/100 g) mesmo sendo zero açúcar: manter a porção, sem repetir a colher. A gordura saturada, por outro lado, é baixa na porção (0,7 g) e menor que a da granola Castanha do Bem. Contém glúten (aveia, flocos de trigo); pode conter diversos alérgenos por contaminação cruzada (amendoim, leite, castanhas variadas, soja).</t>
        </is>
      </c>
      <c r="G15" t="inlineStr">
        <is>
          <t>X</t>
        </is>
      </c>
      <c r="H15" t="inlineStr"/>
      <c r="I15" t="inlineStr">
        <is>
          <t>X</t>
        </is>
      </c>
      <c r="J15" t="inlineStr"/>
      <c r="L15" t="inlineStr">
        <is>
          <t>Iogurte grego zero</t>
        </is>
      </c>
      <c r="M15" t="inlineStr">
        <is>
          <t>Espinafre</t>
        </is>
      </c>
      <c r="N15" t="inlineStr">
        <is>
          <t>Café sem açúcar</t>
        </is>
      </c>
      <c r="O15" t="inlineStr">
        <is>
          <t>Espinafre</t>
        </is>
      </c>
      <c r="Q15" t="inlineStr">
        <is>
          <t>Vegetais e Verduras|Almoço</t>
        </is>
      </c>
      <c r="R15" t="inlineStr">
        <is>
          <t>Vegetais e verduras em geral</t>
        </is>
      </c>
    </row>
    <row r="16">
      <c r="A16" t="inlineStr">
        <is>
          <t>Peixe</t>
        </is>
      </c>
      <c r="B16" t="inlineStr">
        <is>
          <t>Proteínas</t>
        </is>
      </c>
      <c r="C16" t="inlineStr">
        <is>
          <t>Liberado</t>
        </is>
      </c>
      <c r="D16" t="inlineStr">
        <is>
          <t>150 g</t>
        </is>
      </c>
      <c r="E16" t="inlineStr">
        <is>
          <t>3x/semana</t>
        </is>
      </c>
      <c r="F16" t="inlineStr">
        <is>
          <t>Fonte de ômega-3</t>
        </is>
      </c>
      <c r="G16" t="inlineStr"/>
      <c r="H16" t="inlineStr">
        <is>
          <t>X</t>
        </is>
      </c>
      <c r="I16" t="inlineStr"/>
      <c r="J16" t="inlineStr">
        <is>
          <t>X</t>
        </is>
      </c>
      <c r="L16" t="inlineStr">
        <is>
          <t>Água</t>
        </is>
      </c>
      <c r="M16" t="inlineStr">
        <is>
          <t>Tomate</t>
        </is>
      </c>
      <c r="N16" t="inlineStr">
        <is>
          <t>Creme de tahine</t>
        </is>
      </c>
      <c r="O16" t="inlineStr">
        <is>
          <t>Tomate</t>
        </is>
      </c>
      <c r="Q16" t="inlineStr">
        <is>
          <t>Frutas|Lanche</t>
        </is>
      </c>
      <c r="R16" t="inlineStr">
        <is>
          <t>Maçã fuji (com casca)</t>
        </is>
      </c>
    </row>
    <row r="17">
      <c r="A17" t="inlineStr">
        <is>
          <t>Sashimi de salmão</t>
        </is>
      </c>
      <c r="B17" t="inlineStr">
        <is>
          <t>Proteínas</t>
        </is>
      </c>
      <c r="C17" t="inlineStr">
        <is>
          <t>Liberado</t>
        </is>
      </c>
      <c r="D17" t="inlineStr">
        <is>
          <t>150 g (6-8 fatias)</t>
        </is>
      </c>
      <c r="E17" t="inlineStr">
        <is>
          <t>1-2x/semana</t>
        </is>
      </c>
      <c r="F17" t="inlineStr">
        <is>
          <t>Peixe cru, sem arroz — mesma fonte de ômega-3 do peixe grelhado, conta na mesma cota semanal de peixe. Cuidado é só com o shoyu (molho de soja) do acompanhamento, rico em sódio: usar pouco. Sugestão gerada por IA — confirmar com nutricionista/cardiologista.</t>
        </is>
      </c>
      <c r="G17" t="inlineStr"/>
      <c r="H17" t="inlineStr">
        <is>
          <t>X</t>
        </is>
      </c>
      <c r="I17" t="inlineStr"/>
      <c r="J17" t="inlineStr">
        <is>
          <t>X</t>
        </is>
      </c>
      <c r="L17" t="inlineStr">
        <is>
          <t>Café sem açúcar</t>
        </is>
      </c>
      <c r="M17" t="inlineStr">
        <is>
          <t>Cenoura</t>
        </is>
      </c>
      <c r="N17" t="inlineStr">
        <is>
          <t>Vegetais e verduras em geral</t>
        </is>
      </c>
      <c r="O17" t="inlineStr">
        <is>
          <t>Cenoura</t>
        </is>
      </c>
      <c r="Q17" t="inlineStr">
        <is>
          <t>Grãos e Cereais|Lanche</t>
        </is>
      </c>
      <c r="R17" t="inlineStr">
        <is>
          <t>Pão de forma integral</t>
        </is>
      </c>
    </row>
    <row r="18">
      <c r="A18" t="inlineStr">
        <is>
          <t>Sushi de salmão</t>
        </is>
      </c>
      <c r="B18" t="inlineStr">
        <is>
          <t>Proteínas</t>
        </is>
      </c>
      <c r="C18" t="inlineStr">
        <is>
          <t>Moderar</t>
        </is>
      </c>
      <c r="D18" t="inlineStr">
        <is>
          <t>8-10 peças (nigiri/hossomaki)</t>
        </is>
      </c>
      <c r="E18" t="inlineStr">
        <is>
          <t>1x/semana</t>
        </is>
      </c>
      <c r="F18" t="inlineStr">
        <is>
          <t>Além do peixe, leva arroz temperado com açúcar/vinagre — mais carboidrato e um pouco de açúcar adicionado que o sashimi puro. Evitar versões com tempurá, cream cheese ou molhos cremosos/apimentados (mais gordura, sódio e calorias); usar pouco shoyu (sódio). Sugestão gerada por IA — confirmar com nutricionista/cardiologista.</t>
        </is>
      </c>
      <c r="G18" t="inlineStr"/>
      <c r="H18" t="inlineStr">
        <is>
          <t>X</t>
        </is>
      </c>
      <c r="I18" t="inlineStr"/>
      <c r="J18" t="inlineStr">
        <is>
          <t>X</t>
        </is>
      </c>
      <c r="L18" t="inlineStr">
        <is>
          <t>Creme de tahine</t>
        </is>
      </c>
      <c r="M18" t="inlineStr">
        <is>
          <t>Abobrinha</t>
        </is>
      </c>
      <c r="N18" t="inlineStr">
        <is>
          <t>Tomate</t>
        </is>
      </c>
      <c r="O18" t="inlineStr">
        <is>
          <t>Abobrinha</t>
        </is>
      </c>
      <c r="Q18" t="inlineStr">
        <is>
          <t>Laticínios|Lanche</t>
        </is>
      </c>
      <c r="R18" t="inlineStr">
        <is>
          <t>Leite desnatado</t>
        </is>
      </c>
    </row>
    <row r="19">
      <c r="A19" t="inlineStr">
        <is>
          <t>Frango sem pele</t>
        </is>
      </c>
      <c r="B19" t="inlineStr">
        <is>
          <t>Proteínas</t>
        </is>
      </c>
      <c r="C19" t="inlineStr">
        <is>
          <t>Liberado</t>
        </is>
      </c>
      <c r="D19" t="inlineStr">
        <is>
          <t>150 g</t>
        </is>
      </c>
      <c r="E19" t="inlineStr">
        <is>
          <t>quase todo dia</t>
        </is>
      </c>
      <c r="F19" t="inlineStr"/>
      <c r="G19" t="inlineStr"/>
      <c r="H19" t="inlineStr">
        <is>
          <t>X</t>
        </is>
      </c>
      <c r="I19" t="inlineStr"/>
      <c r="J19" t="inlineStr">
        <is>
          <t>X</t>
        </is>
      </c>
      <c r="L19" t="inlineStr">
        <is>
          <t>Vegetais e verduras em geral</t>
        </is>
      </c>
      <c r="M19" t="inlineStr">
        <is>
          <t>Beterraba</t>
        </is>
      </c>
      <c r="N19" t="inlineStr">
        <is>
          <t>Cenoura</t>
        </is>
      </c>
      <c r="O19" t="inlineStr">
        <is>
          <t>Beterraba</t>
        </is>
      </c>
      <c r="Q19" t="inlineStr">
        <is>
          <t>Bebidas|Lanche</t>
        </is>
      </c>
      <c r="R19" t="inlineStr">
        <is>
          <t>Água</t>
        </is>
      </c>
    </row>
    <row r="20">
      <c r="A20" t="inlineStr">
        <is>
          <t>Carne vermelha magra</t>
        </is>
      </c>
      <c r="B20" t="inlineStr">
        <is>
          <t>Proteínas</t>
        </is>
      </c>
      <c r="C20" t="inlineStr">
        <is>
          <t>Moderar</t>
        </is>
      </c>
      <c r="D20" t="inlineStr">
        <is>
          <t>150 g</t>
        </is>
      </c>
      <c r="E20" t="inlineStr">
        <is>
          <t>1x/semana</t>
        </is>
      </c>
      <c r="F20" t="inlineStr">
        <is>
          <t>Preferir cortes magros</t>
        </is>
      </c>
      <c r="G20" t="inlineStr"/>
      <c r="H20" t="inlineStr">
        <is>
          <t>X</t>
        </is>
      </c>
      <c r="I20" t="inlineStr"/>
      <c r="J20" t="inlineStr">
        <is>
          <t>X</t>
        </is>
      </c>
      <c r="L20" t="inlineStr">
        <is>
          <t>Tomate</t>
        </is>
      </c>
      <c r="M20" t="inlineStr">
        <is>
          <t>Alface e folhas verdes (rúcula, agrião)</t>
        </is>
      </c>
      <c r="N20" t="inlineStr">
        <is>
          <t>Alface e folhas verdes (rúcula, agrião)</t>
        </is>
      </c>
      <c r="O20" t="inlineStr">
        <is>
          <t>Alface e folhas verdes (rúcula, agrião)</t>
        </is>
      </c>
      <c r="Q20" t="inlineStr">
        <is>
          <t>Doces e Sobremesas|Lanche</t>
        </is>
      </c>
      <c r="R20" t="inlineStr">
        <is>
          <t>Açúcar refinado</t>
        </is>
      </c>
    </row>
    <row r="21">
      <c r="A21" t="inlineStr">
        <is>
          <t>Ovo</t>
        </is>
      </c>
      <c r="B21" t="inlineStr">
        <is>
          <t>Proteínas</t>
        </is>
      </c>
      <c r="C21" t="inlineStr">
        <is>
          <t>Liberado</t>
        </is>
      </c>
      <c r="D21" t="inlineStr">
        <is>
          <t>1 unidade</t>
        </is>
      </c>
      <c r="E21" t="inlineStr">
        <is>
          <t>até 5x/semana</t>
        </is>
      </c>
      <c r="F21" t="inlineStr"/>
      <c r="G21" t="inlineStr">
        <is>
          <t>X</t>
        </is>
      </c>
      <c r="H21" t="inlineStr">
        <is>
          <t>X</t>
        </is>
      </c>
      <c r="I21" t="inlineStr"/>
      <c r="J21" t="inlineStr">
        <is>
          <t>X</t>
        </is>
      </c>
      <c r="L21" t="inlineStr">
        <is>
          <t>Uva</t>
        </is>
      </c>
      <c r="M21" t="inlineStr">
        <is>
          <t>Pepino</t>
        </is>
      </c>
      <c r="N21" t="inlineStr">
        <is>
          <t>Pepino</t>
        </is>
      </c>
      <c r="O21" t="inlineStr">
        <is>
          <t>Pepino</t>
        </is>
      </c>
      <c r="Q21" t="inlineStr">
        <is>
          <t>Gorduras e Temperos|Lanche</t>
        </is>
      </c>
      <c r="R21" t="inlineStr">
        <is>
          <t>Creme de tahine</t>
        </is>
      </c>
    </row>
    <row r="22">
      <c r="A22" t="inlineStr">
        <is>
          <t>Feijão / leguminosas</t>
        </is>
      </c>
      <c r="B22" t="inlineStr">
        <is>
          <t>Proteínas</t>
        </is>
      </c>
      <c r="C22" t="inlineStr">
        <is>
          <t>Liberado</t>
        </is>
      </c>
      <c r="D22" t="inlineStr">
        <is>
          <t>1 concha</t>
        </is>
      </c>
      <c r="E22" t="inlineStr">
        <is>
          <t>1x/dia</t>
        </is>
      </c>
      <c r="F22" t="inlineStr"/>
      <c r="G22" t="inlineStr"/>
      <c r="H22" t="inlineStr">
        <is>
          <t>X</t>
        </is>
      </c>
      <c r="I22" t="inlineStr"/>
      <c r="J22" t="inlineStr">
        <is>
          <t>X</t>
        </is>
      </c>
      <c r="L22" t="inlineStr">
        <is>
          <t>Manga</t>
        </is>
      </c>
      <c r="M22" t="inlineStr">
        <is>
          <t>Berinjela</t>
        </is>
      </c>
      <c r="N22" t="inlineStr">
        <is>
          <t>Pimentão</t>
        </is>
      </c>
      <c r="O22" t="inlineStr">
        <is>
          <t>Berinjela</t>
        </is>
      </c>
      <c r="Q22" t="inlineStr">
        <is>
          <t>Vegetais e Verduras|Lanche</t>
        </is>
      </c>
      <c r="R22" t="inlineStr">
        <is>
          <t>Vegetais e verduras em geral</t>
        </is>
      </c>
    </row>
    <row r="23">
      <c r="A23" t="inlineStr">
        <is>
          <t>Kare (curry japonês) com lombo de porco</t>
        </is>
      </c>
      <c r="B23" t="inlineStr">
        <is>
          <t>Proteínas</t>
        </is>
      </c>
      <c r="C23" t="inlineStr">
        <is>
          <t>Moderar</t>
        </is>
      </c>
      <c r="D23" t="inlineStr">
        <is>
          <t>1 concha (150-200 g do preparo, sem contar o arroz)</t>
        </is>
      </c>
      <c r="E23" t="inlineStr">
        <is>
          <t>1x/semana</t>
        </is>
      </c>
      <c r="F23" t="inlineStr">
        <is>
          <t>O tablete de curry (roux) pronto costuma ser rico em sódio e conter gordura saturada (geralmente óleo de palma) na sua composição, além de ser espessado com farinha de trigo — é o principal ponto de atenção do prato, não o lombo suíno (corte magro) nem os vegetais (batata, cenoura, cebola). Preferir marcas com menos sódio por porção, se o rótulo estiver disponível. Sugestão gerada por IA — confirmar com nutricionista/cardiologista.</t>
        </is>
      </c>
      <c r="G23" t="inlineStr"/>
      <c r="H23" t="inlineStr">
        <is>
          <t>X</t>
        </is>
      </c>
      <c r="I23" t="inlineStr"/>
      <c r="J23" t="inlineStr">
        <is>
          <t>X</t>
        </is>
      </c>
      <c r="L23" t="inlineStr">
        <is>
          <t>Tortilha</t>
        </is>
      </c>
      <c r="M23" t="inlineStr">
        <is>
          <t>Pimentão</t>
        </is>
      </c>
      <c r="N23" t="inlineStr">
        <is>
          <t>Uva</t>
        </is>
      </c>
      <c r="O23" t="inlineStr">
        <is>
          <t>Pimentão</t>
        </is>
      </c>
      <c r="Q23" t="inlineStr">
        <is>
          <t>Grãos e Cereais|Jantar</t>
        </is>
      </c>
      <c r="R23" t="inlineStr">
        <is>
          <t>Arroz integral</t>
        </is>
      </c>
    </row>
    <row r="24">
      <c r="A24" t="inlineStr">
        <is>
          <t>Leite desnatado</t>
        </is>
      </c>
      <c r="B24" t="inlineStr">
        <is>
          <t>Laticínios</t>
        </is>
      </c>
      <c r="C24" t="inlineStr">
        <is>
          <t>Liberado</t>
        </is>
      </c>
      <c r="D24" t="inlineStr">
        <is>
          <t>200 ml</t>
        </is>
      </c>
      <c r="E24" t="inlineStr">
        <is>
          <t>1x/dia</t>
        </is>
      </c>
      <c r="F24" t="inlineStr"/>
      <c r="G24" t="inlineStr">
        <is>
          <t>X</t>
        </is>
      </c>
      <c r="H24" t="inlineStr"/>
      <c r="I24" t="inlineStr">
        <is>
          <t>X</t>
        </is>
      </c>
      <c r="J24" t="inlineStr"/>
      <c r="L24" t="inlineStr">
        <is>
          <t>Mussarela</t>
        </is>
      </c>
      <c r="M24" t="inlineStr">
        <is>
          <t>Repolho</t>
        </is>
      </c>
      <c r="N24" t="inlineStr">
        <is>
          <t>Manga</t>
        </is>
      </c>
      <c r="O24" t="inlineStr">
        <is>
          <t>Repolho</t>
        </is>
      </c>
      <c r="Q24" t="inlineStr">
        <is>
          <t>Proteínas|Jantar</t>
        </is>
      </c>
      <c r="R24" t="inlineStr">
        <is>
          <t>Peixe</t>
        </is>
      </c>
    </row>
    <row r="25">
      <c r="A25" t="inlineStr">
        <is>
          <t>Queijo branco frescal</t>
        </is>
      </c>
      <c r="B25" t="inlineStr">
        <is>
          <t>Laticínios</t>
        </is>
      </c>
      <c r="C25" t="inlineStr">
        <is>
          <t>Liberado</t>
        </is>
      </c>
      <c r="D25" t="inlineStr">
        <is>
          <t>30 g</t>
        </is>
      </c>
      <c r="E25" t="inlineStr">
        <is>
          <t>3x/semana</t>
        </is>
      </c>
      <c r="F25" t="inlineStr">
        <is>
          <t>Tipo fresco (ex.: Minas frescal), sem cura/salga pesada — bem menos sódio e gordura que queijos curados. Sugestão gerada por IA — confirmar com nutricionista/cardiologista.</t>
        </is>
      </c>
      <c r="G25" t="inlineStr">
        <is>
          <t>X</t>
        </is>
      </c>
      <c r="H25" t="inlineStr"/>
      <c r="I25" t="inlineStr">
        <is>
          <t>X</t>
        </is>
      </c>
      <c r="J25" t="inlineStr"/>
      <c r="L25" t="inlineStr">
        <is>
          <t>Requeijão</t>
        </is>
      </c>
      <c r="M25" t="inlineStr">
        <is>
          <t>Arroz branco</t>
        </is>
      </c>
      <c r="N25" t="inlineStr">
        <is>
          <t>Tortilha</t>
        </is>
      </c>
      <c r="O25" t="inlineStr">
        <is>
          <t>Arroz branco</t>
        </is>
      </c>
      <c r="Q25" t="inlineStr">
        <is>
          <t>Bebidas|Jantar</t>
        </is>
      </c>
      <c r="R25" t="inlineStr">
        <is>
          <t>Água</t>
        </is>
      </c>
    </row>
    <row r="26">
      <c r="A26" t="inlineStr">
        <is>
          <t>Queijo frescal light</t>
        </is>
      </c>
      <c r="B26" t="inlineStr">
        <is>
          <t>Laticínios</t>
        </is>
      </c>
      <c r="C26" t="inlineStr">
        <is>
          <t>Liberado</t>
        </is>
      </c>
      <c r="D26" t="inlineStr">
        <is>
          <t>30 g (1 fatia)</t>
        </is>
      </c>
      <c r="E26" t="inlineStr">
        <is>
          <t>3x/semana</t>
        </is>
      </c>
      <c r="F26" t="inlineStr">
        <is>
          <t>Rótulo real: 41 kcal e 105 mg de sódio por porção (bem abaixo de queijos comuns), 1,5 g de gordura saturada, sem açúcar adicionado. Contém lactose; sem glúten; pode conter soja.</t>
        </is>
      </c>
      <c r="G26" t="inlineStr">
        <is>
          <t>X</t>
        </is>
      </c>
      <c r="H26" t="inlineStr"/>
      <c r="I26" t="inlineStr">
        <is>
          <t>X</t>
        </is>
      </c>
      <c r="J26" t="inlineStr"/>
      <c r="L26" t="inlineStr">
        <is>
          <t>Cream cheese light</t>
        </is>
      </c>
      <c r="M26" t="inlineStr">
        <is>
          <t>Tortilha</t>
        </is>
      </c>
      <c r="N26" t="inlineStr">
        <is>
          <t>Mussarela</t>
        </is>
      </c>
      <c r="O26" t="inlineStr">
        <is>
          <t>Tortilha</t>
        </is>
      </c>
      <c r="Q26" t="inlineStr">
        <is>
          <t>Doces e Sobremesas|Jantar</t>
        </is>
      </c>
      <c r="R26" t="inlineStr">
        <is>
          <t>Açúcar refinado</t>
        </is>
      </c>
    </row>
    <row r="27">
      <c r="A27" t="inlineStr">
        <is>
          <t>Mussarela</t>
        </is>
      </c>
      <c r="B27" t="inlineStr">
        <is>
          <t>Laticínios</t>
        </is>
      </c>
      <c r="C27" t="inlineStr">
        <is>
          <t>Moderar</t>
        </is>
      </c>
      <c r="D27" t="inlineStr">
        <is>
          <t>30 g</t>
        </is>
      </c>
      <c r="E27" t="inlineStr">
        <is>
          <t>2x/semana</t>
        </is>
      </c>
      <c r="F27" t="inlineStr">
        <is>
          <t>Mais gordura saturada e sódio que o queijo branco frescal; prefira o frescal no dia a dia. Sugestão gerada por IA — confirmar com nutricionista/cardiologista.</t>
        </is>
      </c>
      <c r="G27" t="inlineStr">
        <is>
          <t>X</t>
        </is>
      </c>
      <c r="H27" t="inlineStr"/>
      <c r="I27" t="inlineStr">
        <is>
          <t>X</t>
        </is>
      </c>
      <c r="J27" t="inlineStr"/>
      <c r="L27" t="inlineStr">
        <is>
          <t>Suco natural sem açúcar</t>
        </is>
      </c>
      <c r="M27" t="inlineStr">
        <is>
          <t>Sushi de salmão</t>
        </is>
      </c>
      <c r="N27" t="inlineStr">
        <is>
          <t>Requeijão</t>
        </is>
      </c>
      <c r="O27" t="inlineStr">
        <is>
          <t>Sushi de salmão</t>
        </is>
      </c>
      <c r="Q27" t="inlineStr">
        <is>
          <t>Gorduras e Temperos|Jantar</t>
        </is>
      </c>
      <c r="R27" t="inlineStr">
        <is>
          <t>Azeite de oliva extra virgem</t>
        </is>
      </c>
    </row>
    <row r="28">
      <c r="A28" t="inlineStr">
        <is>
          <t>Iogurte natural (desnatado, sem açúcar)</t>
        </is>
      </c>
      <c r="B28" t="inlineStr">
        <is>
          <t>Laticínios</t>
        </is>
      </c>
      <c r="C28" t="inlineStr">
        <is>
          <t>Liberado</t>
        </is>
      </c>
      <c r="D28" t="inlineStr">
        <is>
          <t>1 unidade</t>
        </is>
      </c>
      <c r="E28" t="inlineStr">
        <is>
          <t>1x/dia</t>
        </is>
      </c>
      <c r="F28" t="inlineStr">
        <is>
          <t>Prefira sempre a versão sem açúcar adicionado</t>
        </is>
      </c>
      <c r="G28" t="inlineStr">
        <is>
          <t>X</t>
        </is>
      </c>
      <c r="H28" t="inlineStr"/>
      <c r="I28" t="inlineStr">
        <is>
          <t>X</t>
        </is>
      </c>
      <c r="J28" t="inlineStr"/>
      <c r="L28" t="inlineStr">
        <is>
          <t>Toranja / grapefruit</t>
        </is>
      </c>
      <c r="M28" t="inlineStr">
        <is>
          <t>Carne vermelha magra</t>
        </is>
      </c>
      <c r="N28" t="inlineStr">
        <is>
          <t>Cream cheese light</t>
        </is>
      </c>
      <c r="O28" t="inlineStr">
        <is>
          <t>Carne vermelha magra</t>
        </is>
      </c>
      <c r="Q28" t="inlineStr">
        <is>
          <t>Vegetais e Verduras|Jantar</t>
        </is>
      </c>
      <c r="R28" t="inlineStr">
        <is>
          <t>Vegetais e verduras em geral</t>
        </is>
      </c>
    </row>
    <row r="29">
      <c r="A29" t="inlineStr">
        <is>
          <t>Iogurte grego zero</t>
        </is>
      </c>
      <c r="B29" t="inlineStr">
        <is>
          <t>Laticínios</t>
        </is>
      </c>
      <c r="C29" t="inlineStr">
        <is>
          <t>Liberado</t>
        </is>
      </c>
      <c r="D29" t="inlineStr">
        <is>
          <t>90 g (1 pote)</t>
        </is>
      </c>
      <c r="E29" t="inlineStr">
        <is>
          <t>1x/dia</t>
        </is>
      </c>
      <c r="F29" t="inlineStr">
        <is>
          <t>Rótulo real: 50 kcal, 6,8 g de proteína (bem mais que iogurte comum), 0,2 g de gordura, 51 mg de sódio, zero adição de açúcar/gordura, sem lactose. Contém edulcorantes (sucralose e ciclamato).</t>
        </is>
      </c>
      <c r="G29" t="inlineStr">
        <is>
          <t>X</t>
        </is>
      </c>
      <c r="H29" t="inlineStr"/>
      <c r="I29" t="inlineStr">
        <is>
          <t>X</t>
        </is>
      </c>
      <c r="J29" t="inlineStr"/>
      <c r="L29" t="inlineStr">
        <is>
          <t>Suco de toranja / grapefruit</t>
        </is>
      </c>
      <c r="M29" t="inlineStr">
        <is>
          <t>Kare (curry japonês) com lombo de porco</t>
        </is>
      </c>
      <c r="N29" t="inlineStr">
        <is>
          <t>Refrigerante zero</t>
        </is>
      </c>
      <c r="O29" t="inlineStr">
        <is>
          <t>Kare (curry japonês) com lombo de porco</t>
        </is>
      </c>
    </row>
    <row r="30">
      <c r="A30" t="inlineStr">
        <is>
          <t>Requeijão</t>
        </is>
      </c>
      <c r="B30" t="inlineStr">
        <is>
          <t>Laticínios</t>
        </is>
      </c>
      <c r="C30" t="inlineStr">
        <is>
          <t>Moderar</t>
        </is>
      </c>
      <c r="D30" t="inlineStr">
        <is>
          <t>1 colher de sopa (≈15 g)</t>
        </is>
      </c>
      <c r="E30" t="inlineStr">
        <is>
          <t>2x/semana</t>
        </is>
      </c>
      <c r="F30" t="inlineStr">
        <is>
          <t>Rico em gordura saturada e sódio; prefira a versão light. Sugestão gerada por IA — confirmar com nutricionista/cardiologista.</t>
        </is>
      </c>
      <c r="G30" t="inlineStr">
        <is>
          <t>X</t>
        </is>
      </c>
      <c r="H30" t="inlineStr"/>
      <c r="I30" t="inlineStr">
        <is>
          <t>X</t>
        </is>
      </c>
      <c r="J30" t="inlineStr"/>
      <c r="L30" t="inlineStr">
        <is>
          <t>Açúcar refinado</t>
        </is>
      </c>
      <c r="M30" t="inlineStr">
        <is>
          <t>Refrigerante zero</t>
        </is>
      </c>
      <c r="N30" t="inlineStr">
        <is>
          <t>Suco natural sem açúcar</t>
        </is>
      </c>
      <c r="O30" t="inlineStr">
        <is>
          <t>Refrigerante zero</t>
        </is>
      </c>
    </row>
    <row r="31">
      <c r="A31" t="inlineStr">
        <is>
          <t>Cream cheese light</t>
        </is>
      </c>
      <c r="B31" t="inlineStr">
        <is>
          <t>Laticínios</t>
        </is>
      </c>
      <c r="C31" t="inlineStr">
        <is>
          <t>Moderar</t>
        </is>
      </c>
      <c r="D31" t="inlineStr">
        <is>
          <t>1 colher de sopa (30 g)</t>
        </is>
      </c>
      <c r="E31" t="inlineStr">
        <is>
          <t>2x/semana</t>
        </is>
      </c>
      <c r="F31" t="inlineStr">
        <is>
          <t>Rótulo real (30 g): 63 kcal, 3,5 g de gordura saturada e 0,1 g de gordura trans (mesmo sendo 'light', é bastante gordura saturada para uma porção — quase 30% do limite diário recomendado num plano de 2000 kcal), 115 mg de sódio, 1,1 g de açúcar (sem açúcar adicionado). Ingredientes: leite integral, creme de leite, leite em pó desnatado, sal, fermento lático, espessantes (goma jataí, carragena), conservador sorbato de potássio (não é o mesmo que sal light/cloreto de potássio — sem interação com o Enalapril). Sugestão gerada por IA — confirmar com nutricionista/cardiologista.</t>
        </is>
      </c>
      <c r="G31" t="inlineStr">
        <is>
          <t>X</t>
        </is>
      </c>
      <c r="H31" t="inlineStr"/>
      <c r="I31" t="inlineStr">
        <is>
          <t>X</t>
        </is>
      </c>
      <c r="J31" t="inlineStr"/>
      <c r="L31" t="inlineStr">
        <is>
          <t>Manteiga</t>
        </is>
      </c>
      <c r="M31" t="inlineStr">
        <is>
          <t>Sal</t>
        </is>
      </c>
      <c r="N31" t="inlineStr">
        <is>
          <t>Chocolate amargo (70%+)</t>
        </is>
      </c>
      <c r="O31" t="inlineStr">
        <is>
          <t>Sal</t>
        </is>
      </c>
    </row>
    <row r="32">
      <c r="A32" t="inlineStr">
        <is>
          <t>Água</t>
        </is>
      </c>
      <c r="B32" t="inlineStr">
        <is>
          <t>Bebidas</t>
        </is>
      </c>
      <c r="C32" t="inlineStr">
        <is>
          <t>Liberado</t>
        </is>
      </c>
      <c r="D32" t="inlineStr">
        <is>
          <t>à vontade</t>
        </is>
      </c>
      <c r="E32" t="inlineStr">
        <is>
          <t>todos os dias</t>
        </is>
      </c>
      <c r="F32" t="inlineStr"/>
      <c r="G32" t="inlineStr">
        <is>
          <t>X</t>
        </is>
      </c>
      <c r="H32" t="inlineStr">
        <is>
          <t>X</t>
        </is>
      </c>
      <c r="I32" t="inlineStr">
        <is>
          <t>X</t>
        </is>
      </c>
      <c r="J32" t="inlineStr">
        <is>
          <t>X</t>
        </is>
      </c>
      <c r="M32" t="inlineStr">
        <is>
          <t>Bebida alcoólica</t>
        </is>
      </c>
      <c r="N32" t="inlineStr">
        <is>
          <t>Toranja / grapefruit</t>
        </is>
      </c>
      <c r="O32" t="inlineStr">
        <is>
          <t>Bebida alcoólica</t>
        </is>
      </c>
    </row>
    <row r="33">
      <c r="A33" t="inlineStr">
        <is>
          <t>Refrigerante zero</t>
        </is>
      </c>
      <c r="B33" t="inlineStr">
        <is>
          <t>Bebidas</t>
        </is>
      </c>
      <c r="C33" t="inlineStr">
        <is>
          <t>Moderar</t>
        </is>
      </c>
      <c r="D33" t="inlineStr">
        <is>
          <t>200 ml</t>
        </is>
      </c>
      <c r="E33" t="inlineStr">
        <is>
          <t>1x/dia</t>
        </is>
      </c>
      <c r="F33" t="inlineStr">
        <is>
          <t>Sugestão gerada por IA — confirmar com nutricionista/cardiologista</t>
        </is>
      </c>
      <c r="G33" t="inlineStr"/>
      <c r="H33" t="inlineStr">
        <is>
          <t>X</t>
        </is>
      </c>
      <c r="I33" t="inlineStr">
        <is>
          <t>X</t>
        </is>
      </c>
      <c r="J33" t="inlineStr">
        <is>
          <t>X</t>
        </is>
      </c>
      <c r="M33" t="inlineStr">
        <is>
          <t>Açúcar refinado</t>
        </is>
      </c>
      <c r="N33" t="inlineStr">
        <is>
          <t>Suco de toranja / grapefruit</t>
        </is>
      </c>
      <c r="O33" t="inlineStr">
        <is>
          <t>Açúcar refinado</t>
        </is>
      </c>
    </row>
    <row r="34">
      <c r="A34" t="inlineStr">
        <is>
          <t>Café sem açúcar</t>
        </is>
      </c>
      <c r="B34" t="inlineStr">
        <is>
          <t>Bebidas</t>
        </is>
      </c>
      <c r="C34" t="inlineStr">
        <is>
          <t>Liberado</t>
        </is>
      </c>
      <c r="D34" t="inlineStr">
        <is>
          <t>1 xícara</t>
        </is>
      </c>
      <c r="E34" t="inlineStr">
        <is>
          <t>2x/dia</t>
        </is>
      </c>
      <c r="F34" t="inlineStr"/>
      <c r="G34" t="inlineStr">
        <is>
          <t>X</t>
        </is>
      </c>
      <c r="H34" t="inlineStr"/>
      <c r="I34" t="inlineStr">
        <is>
          <t>X</t>
        </is>
      </c>
      <c r="J34" t="inlineStr"/>
      <c r="M34" t="inlineStr">
        <is>
          <t>Sal light / substituto de sal (cloreto de potássio)</t>
        </is>
      </c>
      <c r="N34" t="inlineStr">
        <is>
          <t>Açúcar refinado</t>
        </is>
      </c>
      <c r="O34" t="inlineStr">
        <is>
          <t>Sal light / substituto de sal (cloreto de potássio)</t>
        </is>
      </c>
    </row>
    <row r="35">
      <c r="A35" t="inlineStr">
        <is>
          <t>Suco natural sem açúcar</t>
        </is>
      </c>
      <c r="B35" t="inlineStr">
        <is>
          <t>Bebidas</t>
        </is>
      </c>
      <c r="C35" t="inlineStr">
        <is>
          <t>Moderar</t>
        </is>
      </c>
      <c r="D35" t="inlineStr">
        <is>
          <t>200 ml</t>
        </is>
      </c>
      <c r="E35" t="inlineStr">
        <is>
          <t>3x/semana</t>
        </is>
      </c>
      <c r="F35" t="inlineStr">
        <is>
          <t>Preferir a fruta inteira, que tem mais fibra</t>
        </is>
      </c>
      <c r="G35" t="inlineStr">
        <is>
          <t>X</t>
        </is>
      </c>
      <c r="H35" t="inlineStr"/>
      <c r="I35" t="inlineStr">
        <is>
          <t>X</t>
        </is>
      </c>
      <c r="J35" t="inlineStr"/>
      <c r="N35" t="inlineStr">
        <is>
          <t>Doces industrializados</t>
        </is>
      </c>
    </row>
    <row r="36">
      <c r="A36" t="inlineStr">
        <is>
          <t>Suco de toranja / grapefruit</t>
        </is>
      </c>
      <c r="B36" t="inlineStr">
        <is>
          <t>Bebidas</t>
        </is>
      </c>
      <c r="C36" t="inlineStr">
        <is>
          <t>Evitar</t>
        </is>
      </c>
      <c r="D36" t="inlineStr">
        <is>
          <t>-</t>
        </is>
      </c>
      <c r="E36" t="inlineStr">
        <is>
          <t>evitar</t>
        </is>
      </c>
      <c r="F36" t="inlineStr">
        <is>
          <t>Interage com o Ticagrelor (estudo mostrou quase o dobro do nível do remédio no sangue); a bula diz que não é esperado ser clinicamente relevante p/ a maioria, mas orienta evitar — mais seguro evitar, já que você toma 2 antiagregantes. Ver aba Fontes e Referências.</t>
        </is>
      </c>
      <c r="G36" t="inlineStr">
        <is>
          <t>X</t>
        </is>
      </c>
      <c r="H36" t="inlineStr"/>
      <c r="I36" t="inlineStr">
        <is>
          <t>X</t>
        </is>
      </c>
      <c r="J36" t="inlineStr"/>
    </row>
    <row r="37">
      <c r="A37" t="inlineStr">
        <is>
          <t>Bebida alcoólica</t>
        </is>
      </c>
      <c r="B37" t="inlineStr">
        <is>
          <t>Bebidas</t>
        </is>
      </c>
      <c r="C37" t="inlineStr">
        <is>
          <t>Evitar</t>
        </is>
      </c>
      <c r="D37" t="inlineStr">
        <is>
          <t>-</t>
        </is>
      </c>
      <c r="E37" t="inlineStr">
        <is>
          <t>evitar</t>
        </is>
      </c>
      <c r="F37" t="inlineStr">
        <is>
          <t>Piora diretamente os triglicerídeos; soma-se ao risco de sangramento da Aspirina + Ticagrelor.</t>
        </is>
      </c>
      <c r="G37" t="inlineStr"/>
      <c r="H37" t="inlineStr">
        <is>
          <t>X</t>
        </is>
      </c>
      <c r="I37" t="inlineStr"/>
      <c r="J37" t="inlineStr">
        <is>
          <t>X</t>
        </is>
      </c>
    </row>
    <row r="38">
      <c r="A38" t="inlineStr">
        <is>
          <t>Açúcar refinado</t>
        </is>
      </c>
      <c r="B38" t="inlineStr">
        <is>
          <t>Doces e Sobremesas</t>
        </is>
      </c>
      <c r="C38" t="inlineStr">
        <is>
          <t>Evitar</t>
        </is>
      </c>
      <c r="D38" t="inlineStr">
        <is>
          <t>-</t>
        </is>
      </c>
      <c r="E38" t="inlineStr">
        <is>
          <t>evitar</t>
        </is>
      </c>
      <c r="F38" t="inlineStr">
        <is>
          <t>Impacto direto nos triglicerídeos</t>
        </is>
      </c>
      <c r="G38" t="inlineStr">
        <is>
          <t>X</t>
        </is>
      </c>
      <c r="H38" t="inlineStr">
        <is>
          <t>X</t>
        </is>
      </c>
      <c r="I38" t="inlineStr">
        <is>
          <t>X</t>
        </is>
      </c>
      <c r="J38" t="inlineStr">
        <is>
          <t>X</t>
        </is>
      </c>
    </row>
    <row r="39">
      <c r="A39" t="inlineStr">
        <is>
          <t>Doces industrializados</t>
        </is>
      </c>
      <c r="B39" t="inlineStr">
        <is>
          <t>Doces e Sobremesas</t>
        </is>
      </c>
      <c r="C39" t="inlineStr">
        <is>
          <t>Evitar</t>
        </is>
      </c>
      <c r="D39" t="inlineStr">
        <is>
          <t>-</t>
        </is>
      </c>
      <c r="E39" t="inlineStr">
        <is>
          <t>evitar</t>
        </is>
      </c>
      <c r="F39" t="inlineStr"/>
      <c r="G39" t="inlineStr"/>
      <c r="H39" t="inlineStr"/>
      <c r="I39" t="inlineStr">
        <is>
          <t>X</t>
        </is>
      </c>
      <c r="J39" t="inlineStr"/>
    </row>
    <row r="40">
      <c r="A40" t="inlineStr">
        <is>
          <t>Chocolate amargo (70%+)</t>
        </is>
      </c>
      <c r="B40" t="inlineStr">
        <is>
          <t>Doces e Sobremesas</t>
        </is>
      </c>
      <c r="C40" t="inlineStr">
        <is>
          <t>Moderar</t>
        </is>
      </c>
      <c r="D40" t="inlineStr">
        <is>
          <t>10 g</t>
        </is>
      </c>
      <c r="E40" t="inlineStr">
        <is>
          <t>2x/semana</t>
        </is>
      </c>
      <c r="F40" t="inlineStr">
        <is>
          <t>Sugestão gerada por IA — confirmar com nutricionista/cardiologista</t>
        </is>
      </c>
      <c r="G40" t="inlineStr"/>
      <c r="H40" t="inlineStr"/>
      <c r="I40" t="inlineStr">
        <is>
          <t>X</t>
        </is>
      </c>
      <c r="J40" t="inlineStr"/>
    </row>
    <row r="41">
      <c r="A41" t="inlineStr">
        <is>
          <t>Azeite de oliva extra virgem</t>
        </is>
      </c>
      <c r="B41" t="inlineStr">
        <is>
          <t>Gorduras e Temperos</t>
        </is>
      </c>
      <c r="C41" t="inlineStr">
        <is>
          <t>Liberado</t>
        </is>
      </c>
      <c r="D41" t="inlineStr">
        <is>
          <t>1-2 colheres de sopa</t>
        </is>
      </c>
      <c r="E41" t="inlineStr">
        <is>
          <t>1x/dia</t>
        </is>
      </c>
      <c r="F41" t="inlineStr"/>
      <c r="G41" t="inlineStr"/>
      <c r="H41" t="inlineStr">
        <is>
          <t>X</t>
        </is>
      </c>
      <c r="I41" t="inlineStr"/>
      <c r="J41" t="inlineStr">
        <is>
          <t>X</t>
        </is>
      </c>
    </row>
    <row r="42">
      <c r="A42" t="inlineStr">
        <is>
          <t>Manteiga</t>
        </is>
      </c>
      <c r="B42" t="inlineStr">
        <is>
          <t>Gorduras e Temperos</t>
        </is>
      </c>
      <c r="C42" t="inlineStr">
        <is>
          <t>Evitar</t>
        </is>
      </c>
      <c r="D42" t="inlineStr">
        <is>
          <t>-</t>
        </is>
      </c>
      <c r="E42" t="inlineStr">
        <is>
          <t>evitar</t>
        </is>
      </c>
      <c r="F42" t="inlineStr">
        <is>
          <t>Preferir azeite</t>
        </is>
      </c>
      <c r="G42" t="inlineStr">
        <is>
          <t>X</t>
        </is>
      </c>
      <c r="H42" t="inlineStr"/>
      <c r="I42" t="inlineStr"/>
      <c r="J42" t="inlineStr"/>
    </row>
    <row r="43">
      <c r="A43" t="inlineStr">
        <is>
          <t>Sal</t>
        </is>
      </c>
      <c r="B43" t="inlineStr">
        <is>
          <t>Gorduras e Temperos</t>
        </is>
      </c>
      <c r="C43" t="inlineStr">
        <is>
          <t>Moderar</t>
        </is>
      </c>
      <c r="D43" t="inlineStr">
        <is>
          <t>&lt; 5 g no total</t>
        </is>
      </c>
      <c r="E43" t="inlineStr">
        <is>
          <t>todos os dias</t>
        </is>
      </c>
      <c r="F43" t="inlineStr">
        <is>
          <t>Somar sal de cozinha + industrializados</t>
        </is>
      </c>
      <c r="G43" t="inlineStr"/>
      <c r="H43" t="inlineStr">
        <is>
          <t>X</t>
        </is>
      </c>
      <c r="I43" t="inlineStr"/>
      <c r="J43" t="inlineStr">
        <is>
          <t>X</t>
        </is>
      </c>
    </row>
    <row r="44">
      <c r="A44" t="inlineStr">
        <is>
          <t>Creme de tahine</t>
        </is>
      </c>
      <c r="B44" t="inlineStr">
        <is>
          <t>Gorduras e Temperos</t>
        </is>
      </c>
      <c r="C44" t="inlineStr">
        <is>
          <t>Liberado</t>
        </is>
      </c>
      <c r="D44" t="inlineStr">
        <is>
          <t>1-2 colheres de sopa (receita: 4 col. sopa de tahine, 1 col. sopa de limão, 1 col. sopa de azeite, sal e água)</t>
        </is>
      </c>
      <c r="E44" t="inlineStr">
        <is>
          <t>3x/semana</t>
        </is>
      </c>
      <c r="F44" t="inlineStr">
        <is>
          <t>Pasta de gergelim (tahine) + azeite: gorduras majoritariamente insaturadas, sem açúcar, boa fonte de cálcio/fibra — combina com o padrão de dieta mediterrânea recomendado. É calórico (rico em gordura), por isso porção moderada; controlar a quantidade de sal adicionado na receita. Sugestão gerada por IA — confirmar com nutricionista/cardiologista.</t>
        </is>
      </c>
      <c r="G44" t="inlineStr">
        <is>
          <t>X</t>
        </is>
      </c>
      <c r="H44" t="inlineStr">
        <is>
          <t>X</t>
        </is>
      </c>
      <c r="I44" t="inlineStr">
        <is>
          <t>X</t>
        </is>
      </c>
      <c r="J44" t="inlineStr">
        <is>
          <t>X</t>
        </is>
      </c>
    </row>
    <row r="45">
      <c r="A45" t="inlineStr">
        <is>
          <t>Sal light / substituto de sal (cloreto de potássio)</t>
        </is>
      </c>
      <c r="B45" t="inlineStr">
        <is>
          <t>Gorduras e Temperos</t>
        </is>
      </c>
      <c r="C45" t="inlineStr">
        <is>
          <t>Evitar</t>
        </is>
      </c>
      <c r="D45" t="inlineStr">
        <is>
          <t>-</t>
        </is>
      </c>
      <c r="E45" t="inlineStr">
        <is>
          <t>evitar</t>
        </is>
      </c>
      <c r="F45" t="inlineStr">
        <is>
          <t>Enalapril já tende a elevar o potássio; combinado com esse produto o risco de hipercalemia aumenta, ainda mais com a função renal pendente.</t>
        </is>
      </c>
      <c r="G45" t="inlineStr"/>
      <c r="H45" t="inlineStr">
        <is>
          <t>X</t>
        </is>
      </c>
      <c r="I45" t="inlineStr"/>
      <c r="J45" t="inlineStr">
        <is>
          <t>X</t>
        </is>
      </c>
    </row>
    <row r="46">
      <c r="A46" t="inlineStr">
        <is>
          <t>Ervas e temperos naturais</t>
        </is>
      </c>
      <c r="B46" t="inlineStr">
        <is>
          <t>Gorduras e Temperos</t>
        </is>
      </c>
      <c r="C46" t="inlineStr">
        <is>
          <t>Liberado</t>
        </is>
      </c>
      <c r="D46" t="inlineStr">
        <is>
          <t>à vontade</t>
        </is>
      </c>
      <c r="E46" t="inlineStr">
        <is>
          <t>todos os dias</t>
        </is>
      </c>
      <c r="F46" t="inlineStr"/>
      <c r="G46" t="inlineStr"/>
      <c r="H46" t="inlineStr">
        <is>
          <t>X</t>
        </is>
      </c>
      <c r="I46" t="inlineStr"/>
      <c r="J46" t="inlineStr">
        <is>
          <t>X</t>
        </is>
      </c>
    </row>
    <row r="47">
      <c r="A47" t="inlineStr">
        <is>
          <t>Vegetais e verduras em geral</t>
        </is>
      </c>
      <c r="B47" t="inlineStr">
        <is>
          <t>Vegetais e Verduras</t>
        </is>
      </c>
      <c r="C47" t="inlineStr">
        <is>
          <t>Liberado</t>
        </is>
      </c>
      <c r="D47" t="inlineStr">
        <is>
          <t>à vontade</t>
        </is>
      </c>
      <c r="E47" t="inlineStr">
        <is>
          <t>todos os dias</t>
        </is>
      </c>
      <c r="F47" t="inlineStr">
        <is>
          <t>Se entrar anticoagulante na medicação, revisar consumo de verde-escuros ricos em vitamina K</t>
        </is>
      </c>
      <c r="G47" t="inlineStr">
        <is>
          <t>X</t>
        </is>
      </c>
      <c r="H47" t="inlineStr">
        <is>
          <t>X</t>
        </is>
      </c>
      <c r="I47" t="inlineStr">
        <is>
          <t>X</t>
        </is>
      </c>
      <c r="J47" t="inlineStr">
        <is>
          <t>X</t>
        </is>
      </c>
    </row>
    <row r="48">
      <c r="A48" t="inlineStr">
        <is>
          <t>Brócolis</t>
        </is>
      </c>
      <c r="B48" t="inlineStr">
        <is>
          <t>Vegetais e Verduras</t>
        </is>
      </c>
      <c r="C48" t="inlineStr">
        <is>
          <t>Liberado</t>
        </is>
      </c>
      <c r="D48" t="inlineStr">
        <is>
          <t>à vontade</t>
        </is>
      </c>
      <c r="E48" t="inlineStr">
        <is>
          <t>todos os dias</t>
        </is>
      </c>
      <c r="F48" t="inlineStr">
        <is>
          <t>Rico em fibras; combina bem com o padrão de dieta cardioprotetora recomendado.</t>
        </is>
      </c>
      <c r="G48" t="inlineStr"/>
      <c r="H48" t="inlineStr">
        <is>
          <t>X</t>
        </is>
      </c>
      <c r="I48" t="inlineStr"/>
      <c r="J48" t="inlineStr">
        <is>
          <t>X</t>
        </is>
      </c>
    </row>
    <row r="49">
      <c r="A49" t="inlineStr">
        <is>
          <t>Couve</t>
        </is>
      </c>
      <c r="B49" t="inlineStr">
        <is>
          <t>Vegetais e Verduras</t>
        </is>
      </c>
      <c r="C49" t="inlineStr">
        <is>
          <t>Liberado</t>
        </is>
      </c>
      <c r="D49" t="inlineStr">
        <is>
          <t>à vontade</t>
        </is>
      </c>
      <c r="E49" t="inlineStr">
        <is>
          <t>todos os dias</t>
        </is>
      </c>
      <c r="F49" t="inlineStr">
        <is>
          <t>Folha verde-escura rica em vitamina K — sem impacto hoje (nenhum anticoagulante em uso), mas vale reavaliar se isso mudar no tratamento.</t>
        </is>
      </c>
      <c r="G49" t="inlineStr"/>
      <c r="H49" t="inlineStr">
        <is>
          <t>X</t>
        </is>
      </c>
      <c r="I49" t="inlineStr"/>
      <c r="J49" t="inlineStr">
        <is>
          <t>X</t>
        </is>
      </c>
    </row>
    <row r="50">
      <c r="A50" t="inlineStr">
        <is>
          <t>Espinafre</t>
        </is>
      </c>
      <c r="B50" t="inlineStr">
        <is>
          <t>Vegetais e Verduras</t>
        </is>
      </c>
      <c r="C50" t="inlineStr">
        <is>
          <t>Liberado</t>
        </is>
      </c>
      <c r="D50" t="inlineStr">
        <is>
          <t>à vontade</t>
        </is>
      </c>
      <c r="E50" t="inlineStr">
        <is>
          <t>todos os dias</t>
        </is>
      </c>
      <c r="F50" t="inlineStr">
        <is>
          <t>Folha verde-escura rica em vitamina K — sem impacto hoje (nenhum anticoagulante em uso), mas vale reavaliar se isso mudar no tratamento.</t>
        </is>
      </c>
      <c r="G50" t="inlineStr"/>
      <c r="H50" t="inlineStr">
        <is>
          <t>X</t>
        </is>
      </c>
      <c r="I50" t="inlineStr"/>
      <c r="J50" t="inlineStr">
        <is>
          <t>X</t>
        </is>
      </c>
    </row>
    <row r="51">
      <c r="A51" t="inlineStr">
        <is>
          <t>Tomate</t>
        </is>
      </c>
      <c r="B51" t="inlineStr">
        <is>
          <t>Vegetais e Verduras</t>
        </is>
      </c>
      <c r="C51" t="inlineStr">
        <is>
          <t>Liberado</t>
        </is>
      </c>
      <c r="D51" t="inlineStr">
        <is>
          <t>à vontade</t>
        </is>
      </c>
      <c r="E51" t="inlineStr">
        <is>
          <t>todos os dias</t>
        </is>
      </c>
      <c r="F51" t="inlineStr"/>
      <c r="G51" t="inlineStr">
        <is>
          <t>X</t>
        </is>
      </c>
      <c r="H51" t="inlineStr">
        <is>
          <t>X</t>
        </is>
      </c>
      <c r="I51" t="inlineStr">
        <is>
          <t>X</t>
        </is>
      </c>
      <c r="J51" t="inlineStr">
        <is>
          <t>X</t>
        </is>
      </c>
    </row>
    <row r="52">
      <c r="A52" t="inlineStr">
        <is>
          <t>Cenoura</t>
        </is>
      </c>
      <c r="B52" t="inlineStr">
        <is>
          <t>Vegetais e Verduras</t>
        </is>
      </c>
      <c r="C52" t="inlineStr">
        <is>
          <t>Liberado</t>
        </is>
      </c>
      <c r="D52" t="inlineStr">
        <is>
          <t>à vontade</t>
        </is>
      </c>
      <c r="E52" t="inlineStr">
        <is>
          <t>todos os dias</t>
        </is>
      </c>
      <c r="F52" t="inlineStr"/>
      <c r="G52" t="inlineStr"/>
      <c r="H52" t="inlineStr">
        <is>
          <t>X</t>
        </is>
      </c>
      <c r="I52" t="inlineStr">
        <is>
          <t>X</t>
        </is>
      </c>
      <c r="J52" t="inlineStr">
        <is>
          <t>X</t>
        </is>
      </c>
    </row>
    <row r="53">
      <c r="A53" t="inlineStr">
        <is>
          <t>Abobrinha</t>
        </is>
      </c>
      <c r="B53" t="inlineStr">
        <is>
          <t>Vegetais e Verduras</t>
        </is>
      </c>
      <c r="C53" t="inlineStr">
        <is>
          <t>Liberado</t>
        </is>
      </c>
      <c r="D53" t="inlineStr">
        <is>
          <t>à vontade</t>
        </is>
      </c>
      <c r="E53" t="inlineStr">
        <is>
          <t>todos os dias</t>
        </is>
      </c>
      <c r="F53" t="inlineStr"/>
      <c r="G53" t="inlineStr"/>
      <c r="H53" t="inlineStr">
        <is>
          <t>X</t>
        </is>
      </c>
      <c r="I53" t="inlineStr"/>
      <c r="J53" t="inlineStr">
        <is>
          <t>X</t>
        </is>
      </c>
    </row>
    <row r="54">
      <c r="A54" t="inlineStr">
        <is>
          <t>Beterraba</t>
        </is>
      </c>
      <c r="B54" t="inlineStr">
        <is>
          <t>Vegetais e Verduras</t>
        </is>
      </c>
      <c r="C54" t="inlineStr">
        <is>
          <t>Liberado</t>
        </is>
      </c>
      <c r="D54" t="inlineStr">
        <is>
          <t>à vontade</t>
        </is>
      </c>
      <c r="E54" t="inlineStr">
        <is>
          <t>3x/semana</t>
        </is>
      </c>
      <c r="F54" t="inlineStr"/>
      <c r="G54" t="inlineStr"/>
      <c r="H54" t="inlineStr">
        <is>
          <t>X</t>
        </is>
      </c>
      <c r="I54" t="inlineStr"/>
      <c r="J54" t="inlineStr">
        <is>
          <t>X</t>
        </is>
      </c>
    </row>
    <row r="55">
      <c r="A55" t="inlineStr">
        <is>
          <t>Alface e folhas verdes (rúcula, agrião)</t>
        </is>
      </c>
      <c r="B55" t="inlineStr">
        <is>
          <t>Vegetais e Verduras</t>
        </is>
      </c>
      <c r="C55" t="inlineStr">
        <is>
          <t>Liberado</t>
        </is>
      </c>
      <c r="D55" t="inlineStr">
        <is>
          <t>à vontade</t>
        </is>
      </c>
      <c r="E55" t="inlineStr">
        <is>
          <t>todos os dias</t>
        </is>
      </c>
      <c r="F55" t="inlineStr"/>
      <c r="G55" t="inlineStr"/>
      <c r="H55" t="inlineStr">
        <is>
          <t>X</t>
        </is>
      </c>
      <c r="I55" t="inlineStr">
        <is>
          <t>X</t>
        </is>
      </c>
      <c r="J55" t="inlineStr">
        <is>
          <t>X</t>
        </is>
      </c>
    </row>
    <row r="56">
      <c r="A56" t="inlineStr">
        <is>
          <t>Pepino</t>
        </is>
      </c>
      <c r="B56" t="inlineStr">
        <is>
          <t>Vegetais e Verduras</t>
        </is>
      </c>
      <c r="C56" t="inlineStr">
        <is>
          <t>Liberado</t>
        </is>
      </c>
      <c r="D56" t="inlineStr">
        <is>
          <t>à vontade</t>
        </is>
      </c>
      <c r="E56" t="inlineStr">
        <is>
          <t>todos os dias</t>
        </is>
      </c>
      <c r="F56" t="inlineStr"/>
      <c r="G56" t="inlineStr"/>
      <c r="H56" t="inlineStr">
        <is>
          <t>X</t>
        </is>
      </c>
      <c r="I56" t="inlineStr">
        <is>
          <t>X</t>
        </is>
      </c>
      <c r="J56" t="inlineStr">
        <is>
          <t>X</t>
        </is>
      </c>
    </row>
    <row r="57">
      <c r="A57" t="inlineStr">
        <is>
          <t>Berinjela</t>
        </is>
      </c>
      <c r="B57" t="inlineStr">
        <is>
          <t>Vegetais e Verduras</t>
        </is>
      </c>
      <c r="C57" t="inlineStr">
        <is>
          <t>Liberado</t>
        </is>
      </c>
      <c r="D57" t="inlineStr">
        <is>
          <t>à vontade</t>
        </is>
      </c>
      <c r="E57" t="inlineStr">
        <is>
          <t>3x/semana</t>
        </is>
      </c>
      <c r="F57" t="inlineStr"/>
      <c r="G57" t="inlineStr"/>
      <c r="H57" t="inlineStr">
        <is>
          <t>X</t>
        </is>
      </c>
      <c r="I57" t="inlineStr"/>
      <c r="J57" t="inlineStr">
        <is>
          <t>X</t>
        </is>
      </c>
    </row>
    <row r="58">
      <c r="A58" t="inlineStr">
        <is>
          <t>Pimentão</t>
        </is>
      </c>
      <c r="B58" t="inlineStr">
        <is>
          <t>Vegetais e Verduras</t>
        </is>
      </c>
      <c r="C58" t="inlineStr">
        <is>
          <t>Liberado</t>
        </is>
      </c>
      <c r="D58" t="inlineStr">
        <is>
          <t>à vontade</t>
        </is>
      </c>
      <c r="E58" t="inlineStr">
        <is>
          <t>todos os dias</t>
        </is>
      </c>
      <c r="F58" t="inlineStr"/>
      <c r="G58" t="inlineStr"/>
      <c r="H58" t="inlineStr">
        <is>
          <t>X</t>
        </is>
      </c>
      <c r="I58" t="inlineStr">
        <is>
          <t>X</t>
        </is>
      </c>
      <c r="J58" t="inlineStr">
        <is>
          <t>X</t>
        </is>
      </c>
    </row>
    <row r="59">
      <c r="A59" t="inlineStr">
        <is>
          <t>Repolho</t>
        </is>
      </c>
      <c r="B59" t="inlineStr">
        <is>
          <t>Vegetais e Verduras</t>
        </is>
      </c>
      <c r="C59" t="inlineStr">
        <is>
          <t>Liberado</t>
        </is>
      </c>
      <c r="D59" t="inlineStr">
        <is>
          <t>à vontade</t>
        </is>
      </c>
      <c r="E59" t="inlineStr">
        <is>
          <t>todos os dias</t>
        </is>
      </c>
      <c r="F59" t="inlineStr"/>
      <c r="G59" t="inlineStr"/>
      <c r="H59" t="inlineStr">
        <is>
          <t>X</t>
        </is>
      </c>
      <c r="I59" t="inlineStr"/>
      <c r="J59"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2026-10-02T14:53:43Z</dcterms:created>
  <dcterms:modified xsi:type="dcterms:W3CDTF">2026-10-02T14:53:44Z</dcterms:modified>
</cp:coreProperties>
</file>