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4"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50"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4"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4"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50"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50"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2"/>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0" customWidth="1" min="8" max="8"/>
  </cols>
  <sheetData>
    <row r="1" ht="26" customHeight="1">
      <c r="A1" s="1" t="inlineStr">
        <is>
          <t>Alimentos e Quantidades — lista de referência</t>
        </is>
      </c>
    </row>
    <row r="2" ht="20"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20" customHeight="1">
      <c r="A4" s="10" t="inlineStr">
        <is>
          <t>Frutas</t>
        </is>
      </c>
      <c r="B4" s="11" t="n"/>
      <c r="C4" s="11" t="n"/>
      <c r="D4" s="11" t="n"/>
      <c r="E4" s="11" t="n"/>
      <c r="F4" s="11" t="n"/>
      <c r="G4" s="11" t="n"/>
      <c r="H4" s="11" t="n"/>
    </row>
    <row r="5" ht="50"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6" t="inlineStr">
        <is>
          <t>Bom</t>
        </is>
      </c>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4" customHeight="1">
      <c r="B10" s="12" t="inlineStr">
        <is>
          <t>Toranja / grapefruit</t>
        </is>
      </c>
      <c r="C10" s="13" t="inlineStr"/>
      <c r="D10" s="13" t="inlineStr">
        <is>
          <t>-</t>
        </is>
      </c>
      <c r="E10" s="13" t="inlineStr">
        <is>
          <t>evitar</t>
        </is>
      </c>
      <c r="F10" s="17"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20"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50"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4"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148" customHeight="1">
      <c r="B17" s="12" t="inlineStr">
        <is>
          <t>Granola zero açúcar</t>
        </is>
      </c>
      <c r="C17" s="13" t="inlineStr">
        <is>
          <t>Castanha do Bem</t>
        </is>
      </c>
      <c r="D17" s="13" t="inlineStr">
        <is>
          <t>20 g (1 colher de sopa)</t>
        </is>
      </c>
      <c r="E17" s="13" t="inlineStr">
        <is>
          <t>1x/dia</t>
        </is>
      </c>
      <c r="F17" s="14" t="inlineStr">
        <is>
          <t>Liberado</t>
        </is>
      </c>
      <c r="G17" s="13" t="inlineStr"/>
      <c r="H17" s="12"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row>
    <row r="18" ht="20" customHeight="1">
      <c r="A18" s="10" t="inlineStr">
        <is>
          <t>Proteínas</t>
        </is>
      </c>
      <c r="B18" s="11" t="n"/>
      <c r="C18" s="11" t="n"/>
      <c r="D18" s="11" t="n"/>
      <c r="E18" s="11" t="n"/>
      <c r="F18" s="11" t="n"/>
      <c r="G18" s="11" t="n"/>
      <c r="H18" s="11" t="n"/>
    </row>
    <row r="19" ht="30" customHeight="1">
      <c r="B19" s="12" t="inlineStr">
        <is>
          <t>Peixe</t>
        </is>
      </c>
      <c r="C19" s="13" t="inlineStr"/>
      <c r="D19" s="13" t="inlineStr">
        <is>
          <t>150 g</t>
        </is>
      </c>
      <c r="E19" s="13" t="inlineStr">
        <is>
          <t>3x/semana</t>
        </is>
      </c>
      <c r="F19" s="14" t="inlineStr">
        <is>
          <t>Liberado</t>
        </is>
      </c>
      <c r="G19" s="13" t="inlineStr"/>
      <c r="H19" s="12" t="inlineStr">
        <is>
          <t>Fonte de ômega-3</t>
        </is>
      </c>
    </row>
    <row r="20" ht="30" customHeight="1">
      <c r="B20" s="12" t="inlineStr">
        <is>
          <t>Frango sem pele</t>
        </is>
      </c>
      <c r="C20" s="13" t="inlineStr"/>
      <c r="D20" s="13" t="inlineStr">
        <is>
          <t>150 g</t>
        </is>
      </c>
      <c r="E20" s="13" t="inlineStr">
        <is>
          <t>quase todo dia</t>
        </is>
      </c>
      <c r="F20" s="14" t="inlineStr">
        <is>
          <t>Liberado</t>
        </is>
      </c>
      <c r="G20" s="13" t="inlineStr"/>
      <c r="H20" s="12" t="inlineStr"/>
    </row>
    <row r="21" ht="30" customHeight="1">
      <c r="B21" s="12" t="inlineStr">
        <is>
          <t>Carne vermelha magra</t>
        </is>
      </c>
      <c r="C21" s="13" t="inlineStr"/>
      <c r="D21" s="13" t="inlineStr">
        <is>
          <t>150 g</t>
        </is>
      </c>
      <c r="E21" s="13" t="inlineStr">
        <is>
          <t>1x/semana</t>
        </is>
      </c>
      <c r="F21" s="15" t="inlineStr">
        <is>
          <t>Moderar</t>
        </is>
      </c>
      <c r="G21" s="13" t="inlineStr"/>
      <c r="H21" s="12" t="inlineStr">
        <is>
          <t>Preferir cortes magros</t>
        </is>
      </c>
    </row>
    <row r="22" ht="30" customHeight="1">
      <c r="B22" s="12" t="inlineStr">
        <is>
          <t>Ovo</t>
        </is>
      </c>
      <c r="C22" s="13" t="inlineStr"/>
      <c r="D22" s="13" t="inlineStr">
        <is>
          <t>1 unidade</t>
        </is>
      </c>
      <c r="E22" s="13" t="inlineStr">
        <is>
          <t>até 5x/semana</t>
        </is>
      </c>
      <c r="F22" s="14" t="inlineStr">
        <is>
          <t>Liberado</t>
        </is>
      </c>
      <c r="G22" s="13" t="inlineStr"/>
      <c r="H22" s="12" t="inlineStr"/>
    </row>
    <row r="23" ht="30" customHeight="1">
      <c r="B23" s="12" t="inlineStr">
        <is>
          <t>Feijão / leguminosas</t>
        </is>
      </c>
      <c r="C23" s="13" t="inlineStr"/>
      <c r="D23" s="13" t="inlineStr">
        <is>
          <t>1 concha</t>
        </is>
      </c>
      <c r="E23" s="13" t="inlineStr">
        <is>
          <t>1x/dia</t>
        </is>
      </c>
      <c r="F23" s="14" t="inlineStr">
        <is>
          <t>Liberado</t>
        </is>
      </c>
      <c r="G23" s="13" t="inlineStr"/>
      <c r="H23" s="12" t="inlineStr"/>
    </row>
    <row r="24" ht="20" customHeight="1">
      <c r="A24" s="10" t="inlineStr">
        <is>
          <t>Laticínios</t>
        </is>
      </c>
      <c r="B24" s="11" t="n"/>
      <c r="C24" s="11" t="n"/>
      <c r="D24" s="11" t="n"/>
      <c r="E24" s="11" t="n"/>
      <c r="F24" s="11" t="n"/>
      <c r="G24" s="11" t="n"/>
      <c r="H24" s="11" t="n"/>
    </row>
    <row r="25" ht="30" customHeight="1">
      <c r="B25" s="12" t="inlineStr">
        <is>
          <t>Leite desnatado</t>
        </is>
      </c>
      <c r="C25" s="13" t="inlineStr"/>
      <c r="D25" s="13" t="inlineStr">
        <is>
          <t>200 ml</t>
        </is>
      </c>
      <c r="E25" s="13" t="inlineStr">
        <is>
          <t>1x/dia</t>
        </is>
      </c>
      <c r="F25" s="14" t="inlineStr">
        <is>
          <t>Liberado</t>
        </is>
      </c>
      <c r="G25" s="13" t="inlineStr"/>
      <c r="H25" s="12" t="inlineStr"/>
    </row>
    <row r="26" ht="50" customHeight="1">
      <c r="B26" s="12" t="inlineStr">
        <is>
          <t>Queijo branco frescal</t>
        </is>
      </c>
      <c r="C26" s="13" t="inlineStr"/>
      <c r="D26" s="13" t="inlineStr">
        <is>
          <t>30 g</t>
        </is>
      </c>
      <c r="E26" s="13" t="inlineStr">
        <is>
          <t>3x/semana</t>
        </is>
      </c>
      <c r="F26" s="14" t="inlineStr">
        <is>
          <t>Liberado</t>
        </is>
      </c>
      <c r="G26" s="13" t="inlineStr"/>
      <c r="H26" s="12" t="inlineStr">
        <is>
          <t>Tipo fresco (ex.: Minas frescal), sem cura/salga pesada — bem menos sódio e gordura que queijos curados. Sugestão gerada por IA — confirmar com nutricionista/cardiologista.</t>
        </is>
      </c>
    </row>
    <row r="27" ht="50" customHeight="1">
      <c r="B27" s="12" t="inlineStr">
        <is>
          <t>Queijo frescal light</t>
        </is>
      </c>
      <c r="C27" s="13" t="inlineStr">
        <is>
          <t>Polenghi</t>
        </is>
      </c>
      <c r="D27" s="13" t="inlineStr">
        <is>
          <t>30 g (1 fatia)</t>
        </is>
      </c>
      <c r="E27" s="13" t="inlineStr">
        <is>
          <t>3x/semana</t>
        </is>
      </c>
      <c r="F27" s="14" t="inlineStr">
        <is>
          <t>Liberado</t>
        </is>
      </c>
      <c r="G27" s="13" t="inlineStr"/>
      <c r="H27" s="12" t="inlineStr">
        <is>
          <t>Rótulo real: 41 kcal e 105 mg de sódio por porção (bem abaixo de queijos comuns), 1,5 g de gordura saturada, sem açúcar adicionado. Contém lactose; sem glúten; pode conter soja.</t>
        </is>
      </c>
    </row>
    <row r="28" ht="50" customHeight="1">
      <c r="B28" s="12" t="inlineStr">
        <is>
          <t>Mussarela</t>
        </is>
      </c>
      <c r="C28" s="13" t="inlineStr"/>
      <c r="D28" s="13" t="inlineStr">
        <is>
          <t>30 g</t>
        </is>
      </c>
      <c r="E28" s="13" t="inlineStr">
        <is>
          <t>2x/semana</t>
        </is>
      </c>
      <c r="F28" s="15" t="inlineStr">
        <is>
          <t>Moderar</t>
        </is>
      </c>
      <c r="G28" s="13" t="inlineStr"/>
      <c r="H28" s="12" t="inlineStr">
        <is>
          <t>Mais gordura saturada e sódio que o queijo branco frescal; prefira o frescal no dia a dia. Sugestão gerada por IA — confirmar com nutricionista/cardiologista.</t>
        </is>
      </c>
    </row>
    <row r="29" ht="30" customHeight="1">
      <c r="B29" s="12" t="inlineStr">
        <is>
          <t>Iogurte natural (desnatado, sem açúcar)</t>
        </is>
      </c>
      <c r="C29" s="13" t="inlineStr"/>
      <c r="D29" s="13" t="inlineStr">
        <is>
          <t>1 unidade</t>
        </is>
      </c>
      <c r="E29" s="13" t="inlineStr">
        <is>
          <t>1x/dia</t>
        </is>
      </c>
      <c r="F29" s="14" t="inlineStr">
        <is>
          <t>Liberado</t>
        </is>
      </c>
      <c r="G29" s="13" t="inlineStr"/>
      <c r="H29" s="12" t="inlineStr">
        <is>
          <t>Prefira sempre a versão sem açúcar adicionado</t>
        </is>
      </c>
    </row>
    <row r="30" ht="50" customHeight="1">
      <c r="B30" s="12" t="inlineStr">
        <is>
          <t>Iogurte grego zero</t>
        </is>
      </c>
      <c r="C30" s="13" t="inlineStr">
        <is>
          <t>Vigor</t>
        </is>
      </c>
      <c r="D30" s="13" t="inlineStr">
        <is>
          <t>90 g (1 pote)</t>
        </is>
      </c>
      <c r="E30" s="13" t="inlineStr">
        <is>
          <t>1x/dia</t>
        </is>
      </c>
      <c r="F30" s="14" t="inlineStr">
        <is>
          <t>Liberado</t>
        </is>
      </c>
      <c r="G30" s="13" t="inlineStr"/>
      <c r="H30" s="12" t="inlineStr">
        <is>
          <t>Rótulo real: 50 kcal, 6,8 g de proteína (bem mais que iogurte comum), 0,2 g de gordura, 51 mg de sódio, zero adição de açúcar/gordura, sem lactose. Contém edulcorantes (sucralose e ciclamato).</t>
        </is>
      </c>
    </row>
    <row r="31" ht="36" customHeight="1">
      <c r="B31" s="12" t="inlineStr">
        <is>
          <t>Requeijão</t>
        </is>
      </c>
      <c r="C31" s="13" t="inlineStr"/>
      <c r="D31" s="13" t="inlineStr">
        <is>
          <t>1 colher de sopa (≈15 g)</t>
        </is>
      </c>
      <c r="E31" s="13" t="inlineStr">
        <is>
          <t>2x/semana</t>
        </is>
      </c>
      <c r="F31" s="15" t="inlineStr">
        <is>
          <t>Moderar</t>
        </is>
      </c>
      <c r="G31" s="13" t="inlineStr"/>
      <c r="H31" s="12" t="inlineStr">
        <is>
          <t>Rico em gordura saturada e sódio; prefira a versão light. Sugestão gerada por IA — confirmar com nutricionista/cardiologista.</t>
        </is>
      </c>
    </row>
    <row r="32" ht="20" customHeight="1">
      <c r="A32" s="10" t="inlineStr">
        <is>
          <t>Bebidas</t>
        </is>
      </c>
      <c r="B32" s="11" t="n"/>
      <c r="C32" s="11" t="n"/>
      <c r="D32" s="11" t="n"/>
      <c r="E32" s="11" t="n"/>
      <c r="F32" s="11" t="n"/>
      <c r="G32" s="11" t="n"/>
      <c r="H32" s="11" t="n"/>
    </row>
    <row r="33" ht="30" customHeight="1">
      <c r="B33" s="12" t="inlineStr">
        <is>
          <t>Água</t>
        </is>
      </c>
      <c r="C33" s="13" t="inlineStr"/>
      <c r="D33" s="13" t="inlineStr">
        <is>
          <t>à vontade</t>
        </is>
      </c>
      <c r="E33" s="13" t="inlineStr">
        <is>
          <t>todos os dias</t>
        </is>
      </c>
      <c r="F33" s="14" t="inlineStr">
        <is>
          <t>Liberado</t>
        </is>
      </c>
      <c r="G33" s="13" t="inlineStr"/>
      <c r="H33" s="12" t="inlineStr"/>
    </row>
    <row r="34" ht="30" customHeight="1">
      <c r="B34" s="12" t="inlineStr">
        <is>
          <t>Refrigerante zero</t>
        </is>
      </c>
      <c r="C34" s="13" t="inlineStr"/>
      <c r="D34" s="13" t="inlineStr">
        <is>
          <t>200 ml</t>
        </is>
      </c>
      <c r="E34" s="13" t="inlineStr">
        <is>
          <t>1x/dia</t>
        </is>
      </c>
      <c r="F34" s="15" t="inlineStr">
        <is>
          <t>Moderar</t>
        </is>
      </c>
      <c r="G34" s="13" t="inlineStr"/>
      <c r="H34" s="12" t="inlineStr">
        <is>
          <t>Sugestão gerada por IA — confirmar com nutricionista/cardiologista</t>
        </is>
      </c>
    </row>
    <row r="35" ht="30" customHeight="1">
      <c r="B35" s="12" t="inlineStr">
        <is>
          <t>Café sem açúcar</t>
        </is>
      </c>
      <c r="C35" s="13" t="inlineStr"/>
      <c r="D35" s="13" t="inlineStr">
        <is>
          <t>1 xícara</t>
        </is>
      </c>
      <c r="E35" s="13" t="inlineStr">
        <is>
          <t>2x/dia</t>
        </is>
      </c>
      <c r="F35" s="14" t="inlineStr">
        <is>
          <t>Liberado</t>
        </is>
      </c>
      <c r="G35" s="13" t="inlineStr"/>
      <c r="H35" s="12" t="inlineStr"/>
    </row>
    <row r="36" ht="30" customHeight="1">
      <c r="B36" s="12" t="inlineStr">
        <is>
          <t>Suco natural sem açúcar</t>
        </is>
      </c>
      <c r="C36" s="13" t="inlineStr"/>
      <c r="D36" s="13" t="inlineStr">
        <is>
          <t>200 ml</t>
        </is>
      </c>
      <c r="E36" s="13" t="inlineStr">
        <is>
          <t>3x/semana</t>
        </is>
      </c>
      <c r="F36" s="15" t="inlineStr">
        <is>
          <t>Moderar</t>
        </is>
      </c>
      <c r="G36" s="13" t="inlineStr"/>
      <c r="H36" s="12" t="inlineStr">
        <is>
          <t>Preferir a fruta inteira, que tem mais fibra</t>
        </is>
      </c>
    </row>
    <row r="37" ht="64" customHeight="1">
      <c r="B37" s="12" t="inlineStr">
        <is>
          <t>Suco de toranja / grapefruit</t>
        </is>
      </c>
      <c r="C37" s="13" t="inlineStr"/>
      <c r="D37" s="13" t="inlineStr">
        <is>
          <t>-</t>
        </is>
      </c>
      <c r="E37" s="13" t="inlineStr">
        <is>
          <t>evitar</t>
        </is>
      </c>
      <c r="F37" s="17" t="inlineStr">
        <is>
          <t>Evitar</t>
        </is>
      </c>
      <c r="G37" s="13" t="inlineStr"/>
      <c r="H37"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38" ht="36" customHeight="1">
      <c r="B38" s="12" t="inlineStr">
        <is>
          <t>Bebida alcoólica</t>
        </is>
      </c>
      <c r="C38" s="13" t="inlineStr"/>
      <c r="D38" s="13" t="inlineStr">
        <is>
          <t>-</t>
        </is>
      </c>
      <c r="E38" s="13" t="inlineStr">
        <is>
          <t>evitar</t>
        </is>
      </c>
      <c r="F38" s="17" t="inlineStr">
        <is>
          <t>Evitar</t>
        </is>
      </c>
      <c r="G38" s="13" t="inlineStr"/>
      <c r="H38" s="12" t="inlineStr">
        <is>
          <t>Piora diretamente os triglicerídeos; soma-se ao risco de sangramento da Aspirina + Ticagrelor.</t>
        </is>
      </c>
    </row>
    <row r="39" ht="20" customHeight="1">
      <c r="A39" s="10" t="inlineStr">
        <is>
          <t>Doces e Sobremesas</t>
        </is>
      </c>
      <c r="B39" s="11" t="n"/>
      <c r="C39" s="11" t="n"/>
      <c r="D39" s="11" t="n"/>
      <c r="E39" s="11" t="n"/>
      <c r="F39" s="11" t="n"/>
      <c r="G39" s="11" t="n"/>
      <c r="H39" s="11" t="n"/>
    </row>
    <row r="40" ht="30" customHeight="1">
      <c r="B40" s="12" t="inlineStr">
        <is>
          <t>Açúcar refinado</t>
        </is>
      </c>
      <c r="C40" s="13" t="inlineStr"/>
      <c r="D40" s="13" t="inlineStr">
        <is>
          <t>-</t>
        </is>
      </c>
      <c r="E40" s="13" t="inlineStr">
        <is>
          <t>evitar</t>
        </is>
      </c>
      <c r="F40" s="17" t="inlineStr">
        <is>
          <t>Evitar</t>
        </is>
      </c>
      <c r="G40" s="13" t="inlineStr"/>
      <c r="H40" s="12" t="inlineStr">
        <is>
          <t>Impacto direto nos triglicerídeos</t>
        </is>
      </c>
    </row>
    <row r="41" ht="30" customHeight="1">
      <c r="B41" s="12" t="inlineStr">
        <is>
          <t>Doces industrializados</t>
        </is>
      </c>
      <c r="C41" s="13" t="inlineStr"/>
      <c r="D41" s="13" t="inlineStr">
        <is>
          <t>-</t>
        </is>
      </c>
      <c r="E41" s="13" t="inlineStr">
        <is>
          <t>evitar</t>
        </is>
      </c>
      <c r="F41" s="17" t="inlineStr">
        <is>
          <t>Evitar</t>
        </is>
      </c>
      <c r="G41" s="13" t="inlineStr"/>
      <c r="H41" s="12" t="inlineStr"/>
    </row>
    <row r="42" ht="30" customHeight="1">
      <c r="B42" s="12" t="inlineStr">
        <is>
          <t>Chocolate amargo (70%+)</t>
        </is>
      </c>
      <c r="C42" s="13" t="inlineStr"/>
      <c r="D42" s="13" t="inlineStr">
        <is>
          <t>10 g</t>
        </is>
      </c>
      <c r="E42" s="13" t="inlineStr">
        <is>
          <t>2x/semana</t>
        </is>
      </c>
      <c r="F42" s="15" t="inlineStr">
        <is>
          <t>Moderar</t>
        </is>
      </c>
      <c r="G42" s="13" t="inlineStr"/>
      <c r="H42" s="12" t="inlineStr">
        <is>
          <t>Sugestão gerada por IA — confirmar com nutricionista/cardiologista</t>
        </is>
      </c>
    </row>
    <row r="43" ht="20" customHeight="1">
      <c r="A43" s="10" t="inlineStr">
        <is>
          <t>Gorduras e Temperos</t>
        </is>
      </c>
      <c r="B43" s="11" t="n"/>
      <c r="C43" s="11" t="n"/>
      <c r="D43" s="11" t="n"/>
      <c r="E43" s="11" t="n"/>
      <c r="F43" s="11" t="n"/>
      <c r="G43" s="11" t="n"/>
      <c r="H43" s="11" t="n"/>
    </row>
    <row r="44" ht="30" customHeight="1">
      <c r="B44" s="12" t="inlineStr">
        <is>
          <t>Azeite de oliva extra virgem</t>
        </is>
      </c>
      <c r="C44" s="13" t="inlineStr"/>
      <c r="D44" s="13" t="inlineStr">
        <is>
          <t>1-2 colheres de sopa</t>
        </is>
      </c>
      <c r="E44" s="13" t="inlineStr">
        <is>
          <t>1x/dia</t>
        </is>
      </c>
      <c r="F44" s="14" t="inlineStr">
        <is>
          <t>Liberado</t>
        </is>
      </c>
      <c r="G44" s="13" t="inlineStr"/>
      <c r="H44" s="12" t="inlineStr"/>
    </row>
    <row r="45" ht="30" customHeight="1">
      <c r="B45" s="12" t="inlineStr">
        <is>
          <t>Manteiga</t>
        </is>
      </c>
      <c r="C45" s="13" t="inlineStr"/>
      <c r="D45" s="13" t="inlineStr">
        <is>
          <t>-</t>
        </is>
      </c>
      <c r="E45" s="13" t="inlineStr">
        <is>
          <t>evitar</t>
        </is>
      </c>
      <c r="F45" s="17" t="inlineStr">
        <is>
          <t>Evitar</t>
        </is>
      </c>
      <c r="G45" s="13" t="inlineStr"/>
      <c r="H45" s="12" t="inlineStr">
        <is>
          <t>Preferir azeite</t>
        </is>
      </c>
    </row>
    <row r="46" ht="30" customHeight="1">
      <c r="B46" s="12" t="inlineStr">
        <is>
          <t>Sal</t>
        </is>
      </c>
      <c r="C46" s="13" t="inlineStr"/>
      <c r="D46" s="13" t="inlineStr">
        <is>
          <t>&lt; 5 g no total</t>
        </is>
      </c>
      <c r="E46" s="13" t="inlineStr">
        <is>
          <t>todos os dias</t>
        </is>
      </c>
      <c r="F46" s="15" t="inlineStr">
        <is>
          <t>Moderar</t>
        </is>
      </c>
      <c r="G46" s="13" t="inlineStr"/>
      <c r="H46" s="12" t="inlineStr">
        <is>
          <t>Somar sal de cozinha + industrializados</t>
        </is>
      </c>
    </row>
    <row r="47" ht="36" customHeight="1">
      <c r="B47" s="12" t="inlineStr">
        <is>
          <t>Sal light / substituto de sal (cloreto de potássio)</t>
        </is>
      </c>
      <c r="C47" s="13" t="inlineStr"/>
      <c r="D47" s="13" t="inlineStr">
        <is>
          <t>-</t>
        </is>
      </c>
      <c r="E47" s="13" t="inlineStr">
        <is>
          <t>evitar</t>
        </is>
      </c>
      <c r="F47" s="17" t="inlineStr">
        <is>
          <t>Evitar</t>
        </is>
      </c>
      <c r="G47" s="13" t="inlineStr"/>
      <c r="H47" s="12" t="inlineStr">
        <is>
          <t>Enalapril já tende a elevar o potássio; combinado com esse produto o risco de hipercalemia aumenta, ainda mais com a função renal pendente.</t>
        </is>
      </c>
    </row>
    <row r="48" ht="30" customHeight="1">
      <c r="B48" s="12" t="inlineStr">
        <is>
          <t>Ervas e temperos naturais</t>
        </is>
      </c>
      <c r="C48" s="13" t="inlineStr"/>
      <c r="D48" s="13" t="inlineStr">
        <is>
          <t>à vontade</t>
        </is>
      </c>
      <c r="E48" s="13" t="inlineStr">
        <is>
          <t>todos os dias</t>
        </is>
      </c>
      <c r="F48" s="14" t="inlineStr">
        <is>
          <t>Liberado</t>
        </is>
      </c>
      <c r="G48" s="13" t="inlineStr"/>
      <c r="H48" s="12" t="inlineStr"/>
    </row>
    <row r="49" ht="20" customHeight="1">
      <c r="A49" s="10" t="inlineStr">
        <is>
          <t>Vegetais e Verduras</t>
        </is>
      </c>
      <c r="B49" s="11" t="n"/>
      <c r="C49" s="11" t="n"/>
      <c r="D49" s="11" t="n"/>
      <c r="E49" s="11" t="n"/>
      <c r="F49" s="11" t="n"/>
      <c r="G49" s="11" t="n"/>
      <c r="H49" s="11" t="n"/>
    </row>
    <row r="50" ht="36" customHeight="1">
      <c r="B50" s="12" t="inlineStr">
        <is>
          <t>Vegetais e verduras em geral</t>
        </is>
      </c>
      <c r="C50" s="13" t="inlineStr"/>
      <c r="D50" s="13" t="inlineStr">
        <is>
          <t>à vontade</t>
        </is>
      </c>
      <c r="E50" s="13" t="inlineStr">
        <is>
          <t>todos os dias</t>
        </is>
      </c>
      <c r="F50" s="14" t="inlineStr">
        <is>
          <t>Liberado</t>
        </is>
      </c>
      <c r="G50" s="13" t="inlineStr"/>
      <c r="H50" s="12" t="inlineStr">
        <is>
          <t>Se entrar anticoagulante na medicação, revisar consumo de verde-escuros ricos em vitamina K</t>
        </is>
      </c>
    </row>
    <row r="52" ht="36" customHeight="1">
      <c r="A52" s="18"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18:H18"/>
    <mergeCell ref="A4:H4"/>
    <mergeCell ref="A39:H39"/>
    <mergeCell ref="G2:H2"/>
    <mergeCell ref="A43:H43"/>
    <mergeCell ref="A24:H24"/>
    <mergeCell ref="A52:H52"/>
    <mergeCell ref="A11:H11"/>
    <mergeCell ref="A49:H49"/>
    <mergeCell ref="A1:H1"/>
    <mergeCell ref="A32:H32"/>
  </mergeCells>
  <dataValidations count="1">
    <dataValidation sqref="G5 G6 G7 G8 G9 G10 G12 G13 G14 G15 G16 G17 G19 G20 G21 G22 G23 G25 G26 G27 G28 G29 G30 G31 G33 G34 G35 G36 G37 G38 G40 G41 G42 G44 G45 G46 G47 G48 G50"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6" customHeight="1">
      <c r="A1" s="1" t="inlineStr">
        <is>
          <t>Montar uma Refeição — escolha os alimentos de cada refeição</t>
        </is>
      </c>
    </row>
    <row r="2" ht="48" customHeight="1">
      <c r="A2" s="18"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20" customHeight="1">
      <c r="A3" s="19" t="inlineStr">
        <is>
          <t>Legenda:</t>
        </is>
      </c>
      <c r="B3" s="20" t="inlineStr">
        <is>
          <t>Liberado</t>
        </is>
      </c>
      <c r="C3" s="21" t="inlineStr">
        <is>
          <t>Moderar</t>
        </is>
      </c>
      <c r="D3" s="22" t="inlineStr">
        <is>
          <t>Evitar</t>
        </is>
      </c>
      <c r="F3" s="23" t="inlineStr">
        <is>
          <t>⚠ Conflito</t>
        </is>
      </c>
    </row>
    <row r="5" ht="20" customHeight="1">
      <c r="A5" s="24" t="inlineStr">
        <is>
          <t>CAFÉ DA MANHÃ</t>
        </is>
      </c>
      <c r="B5" s="11" t="n"/>
      <c r="C5" s="11" t="n"/>
      <c r="D5" s="11" t="n"/>
      <c r="E5" s="11" t="n"/>
      <c r="F5" s="11" t="n"/>
      <c r="G5" s="11" t="n"/>
      <c r="H5" s="11" t="n"/>
    </row>
    <row r="6" ht="30" customHeight="1">
      <c r="A6" s="25" t="inlineStr">
        <is>
          <t>Nº</t>
        </is>
      </c>
      <c r="B6" s="25" t="inlineStr">
        <is>
          <t>Alimento</t>
        </is>
      </c>
      <c r="C6" s="25" t="inlineStr">
        <is>
          <t>Categoria</t>
        </is>
      </c>
      <c r="D6" s="25" t="inlineStr">
        <is>
          <t>Porção sugerida</t>
        </is>
      </c>
      <c r="E6" s="25" t="inlineStr">
        <is>
          <t>Quantidade a comer</t>
        </is>
      </c>
      <c r="F6" s="25" t="inlineStr">
        <is>
          <t>Classificação</t>
        </is>
      </c>
      <c r="G6" s="25" t="inlineStr">
        <is>
          <t>Sugestão (com base no item anterior)</t>
        </is>
      </c>
      <c r="H6" s="25" t="inlineStr">
        <is>
          <t>Conflito</t>
        </is>
      </c>
    </row>
    <row r="7" ht="26" customHeight="1">
      <c r="A7" s="26" t="n">
        <v>1</v>
      </c>
      <c r="B7" s="27" t="n"/>
      <c r="C7" s="28">
        <f>IFERROR(INDEX(Ref_Alimentos!$B$2:$B$101,MATCH($B7,Ref_Alimentos!$A$2:$A$101,0)),"")</f>
        <v/>
      </c>
      <c r="D7" s="29">
        <f>IFERROR(INDEX(Ref_Alimentos!$D$2:$D$101,MATCH($B7,Ref_Alimentos!$A$2:$A$101,0)),"")</f>
        <v/>
      </c>
      <c r="E7" s="26" t="n"/>
      <c r="F7" s="30">
        <f>IFERROR(INDEX(Ref_Alimentos!$C$2:$C$101,MATCH($B7,Ref_Alimentos!$A$2:$A$101,0)),"")</f>
        <v/>
      </c>
      <c r="G7" s="31" t="inlineStr"/>
      <c r="H7" s="32">
        <f>IF($B7="","",IF($F7="Evitar","⚠ Conflito",IF(AND($F7="Moderar",SUMPRODUCT(($B$7:$B$11&lt;&gt;"")*(ROW($B$7:$B$11)&lt;&gt;ROW($B7))*(($F$7:$F$11="Moderar")+($F$7:$F$11="Evitar")))&gt;0),"⚠ Conflito","")))</f>
        <v/>
      </c>
    </row>
    <row r="8" ht="26" customHeight="1">
      <c r="A8" s="26" t="n">
        <v>2</v>
      </c>
      <c r="B8" s="27" t="n"/>
      <c r="C8" s="28">
        <f>IFERROR(INDEX(Ref_Alimentos!$B$2:$B$101,MATCH($B8,Ref_Alimentos!$A$2:$A$101,0)),"")</f>
        <v/>
      </c>
      <c r="D8" s="29">
        <f>IFERROR(INDEX(Ref_Alimentos!$D$2:$D$101,MATCH($B8,Ref_Alimentos!$A$2:$A$101,0)),"")</f>
        <v/>
      </c>
      <c r="E8" s="26" t="n"/>
      <c r="F8" s="30">
        <f>IFERROR(INDEX(Ref_Alimentos!$C$2:$C$101,MATCH($B8,Ref_Alimentos!$A$2:$A$101,0)),"")</f>
        <v/>
      </c>
      <c r="G8" s="31">
        <f>IF($B7="","",IFERROR(INDEX(Ref_Alimentos!$R$2:$R$60,MATCH(IFERROR(INDEX(Ref_Alimentos!$U$2:$U$9,MATCH($C7,Ref_Alimentos!$T$2:$T$9,0)),"")&amp;"|"&amp;"Café da manhã",Ref_Alimentos!$Q$2:$Q$60,0)),""))</f>
        <v/>
      </c>
      <c r="H8" s="32">
        <f>IF($B8="","",IF($F8="Evitar","⚠ Conflito",IF(AND($F8="Moderar",SUMPRODUCT(($B$7:$B$11&lt;&gt;"")*(ROW($B$7:$B$11)&lt;&gt;ROW($B8))*(($F$7:$F$11="Moderar")+($F$7:$F$11="Evitar")))&gt;0),"⚠ Conflito","")))</f>
        <v/>
      </c>
    </row>
    <row r="9" ht="26" customHeight="1">
      <c r="A9" s="26" t="n">
        <v>3</v>
      </c>
      <c r="B9" s="27" t="n"/>
      <c r="C9" s="28">
        <f>IFERROR(INDEX(Ref_Alimentos!$B$2:$B$101,MATCH($B9,Ref_Alimentos!$A$2:$A$101,0)),"")</f>
        <v/>
      </c>
      <c r="D9" s="29">
        <f>IFERROR(INDEX(Ref_Alimentos!$D$2:$D$101,MATCH($B9,Ref_Alimentos!$A$2:$A$101,0)),"")</f>
        <v/>
      </c>
      <c r="E9" s="26" t="n"/>
      <c r="F9" s="30">
        <f>IFERROR(INDEX(Ref_Alimentos!$C$2:$C$101,MATCH($B9,Ref_Alimentos!$A$2:$A$101,0)),"")</f>
        <v/>
      </c>
      <c r="G9" s="31">
        <f>IF($B8="","",IFERROR(INDEX(Ref_Alimentos!$R$2:$R$60,MATCH(IFERROR(INDEX(Ref_Alimentos!$U$2:$U$9,MATCH($C8,Ref_Alimentos!$T$2:$T$9,0)),"")&amp;"|"&amp;"Café da manhã",Ref_Alimentos!$Q$2:$Q$60,0)),""))</f>
        <v/>
      </c>
      <c r="H9" s="32">
        <f>IF($B9="","",IF($F9="Evitar","⚠ Conflito",IF(AND($F9="Moderar",SUMPRODUCT(($B$7:$B$11&lt;&gt;"")*(ROW($B$7:$B$11)&lt;&gt;ROW($B9))*(($F$7:$F$11="Moderar")+($F$7:$F$11="Evitar")))&gt;0),"⚠ Conflito","")))</f>
        <v/>
      </c>
    </row>
    <row r="10" ht="26" customHeight="1">
      <c r="A10" s="26" t="n">
        <v>4</v>
      </c>
      <c r="B10" s="27" t="n"/>
      <c r="C10" s="28">
        <f>IFERROR(INDEX(Ref_Alimentos!$B$2:$B$101,MATCH($B10,Ref_Alimentos!$A$2:$A$101,0)),"")</f>
        <v/>
      </c>
      <c r="D10" s="29">
        <f>IFERROR(INDEX(Ref_Alimentos!$D$2:$D$101,MATCH($B10,Ref_Alimentos!$A$2:$A$101,0)),"")</f>
        <v/>
      </c>
      <c r="E10" s="26" t="n"/>
      <c r="F10" s="30">
        <f>IFERROR(INDEX(Ref_Alimentos!$C$2:$C$101,MATCH($B10,Ref_Alimentos!$A$2:$A$101,0)),"")</f>
        <v/>
      </c>
      <c r="G10" s="31">
        <f>IF($B9="","",IFERROR(INDEX(Ref_Alimentos!$R$2:$R$60,MATCH(IFERROR(INDEX(Ref_Alimentos!$U$2:$U$9,MATCH($C9,Ref_Alimentos!$T$2:$T$9,0)),"")&amp;"|"&amp;"Café da manhã",Ref_Alimentos!$Q$2:$Q$60,0)),""))</f>
        <v/>
      </c>
      <c r="H10" s="32">
        <f>IF($B10="","",IF($F10="Evitar","⚠ Conflito",IF(AND($F10="Moderar",SUMPRODUCT(($B$7:$B$11&lt;&gt;"")*(ROW($B$7:$B$11)&lt;&gt;ROW($B10))*(($F$7:$F$11="Moderar")+($F$7:$F$11="Evitar")))&gt;0),"⚠ Conflito","")))</f>
        <v/>
      </c>
    </row>
    <row r="11" ht="26" customHeight="1">
      <c r="A11" s="26" t="n">
        <v>5</v>
      </c>
      <c r="B11" s="27" t="n"/>
      <c r="C11" s="28">
        <f>IFERROR(INDEX(Ref_Alimentos!$B$2:$B$101,MATCH($B11,Ref_Alimentos!$A$2:$A$101,0)),"")</f>
        <v/>
      </c>
      <c r="D11" s="29">
        <f>IFERROR(INDEX(Ref_Alimentos!$D$2:$D$101,MATCH($B11,Ref_Alimentos!$A$2:$A$101,0)),"")</f>
        <v/>
      </c>
      <c r="E11" s="26" t="n"/>
      <c r="F11" s="30">
        <f>IFERROR(INDEX(Ref_Alimentos!$C$2:$C$101,MATCH($B11,Ref_Alimentos!$A$2:$A$101,0)),"")</f>
        <v/>
      </c>
      <c r="G11" s="31">
        <f>IF($B10="","",IFERROR(INDEX(Ref_Alimentos!$R$2:$R$60,MATCH(IFERROR(INDEX(Ref_Alimentos!$U$2:$U$9,MATCH($C10,Ref_Alimentos!$T$2:$T$9,0)),"")&amp;"|"&amp;"Café da manhã",Ref_Alimentos!$Q$2:$Q$60,0)),""))</f>
        <v/>
      </c>
      <c r="H11" s="32">
        <f>IF($B11="","",IF($F11="Evitar","⚠ Conflito",IF(AND($F11="Moderar",SUMPRODUCT(($B$7:$B$11&lt;&gt;"")*(ROW($B$7:$B$11)&lt;&gt;ROW($B11))*(($F$7:$F$11="Moderar")+($F$7:$F$11="Evitar")))&gt;0),"⚠ Conflito","")))</f>
        <v/>
      </c>
    </row>
    <row r="13" ht="20" customHeight="1">
      <c r="A13" s="24" t="inlineStr">
        <is>
          <t>ALMOÇO</t>
        </is>
      </c>
      <c r="B13" s="11" t="n"/>
      <c r="C13" s="11" t="n"/>
      <c r="D13" s="11" t="n"/>
      <c r="E13" s="11" t="n"/>
      <c r="F13" s="11" t="n"/>
      <c r="G13" s="11" t="n"/>
      <c r="H13" s="11" t="n"/>
    </row>
    <row r="14" ht="30" customHeight="1">
      <c r="A14" s="25" t="inlineStr">
        <is>
          <t>Nº</t>
        </is>
      </c>
      <c r="B14" s="25" t="inlineStr">
        <is>
          <t>Alimento</t>
        </is>
      </c>
      <c r="C14" s="25" t="inlineStr">
        <is>
          <t>Categoria</t>
        </is>
      </c>
      <c r="D14" s="25" t="inlineStr">
        <is>
          <t>Porção sugerida</t>
        </is>
      </c>
      <c r="E14" s="25" t="inlineStr">
        <is>
          <t>Quantidade a comer</t>
        </is>
      </c>
      <c r="F14" s="25" t="inlineStr">
        <is>
          <t>Classificação</t>
        </is>
      </c>
      <c r="G14" s="25" t="inlineStr">
        <is>
          <t>Sugestão (com base no item anterior)</t>
        </is>
      </c>
      <c r="H14" s="25" t="inlineStr">
        <is>
          <t>Conflito</t>
        </is>
      </c>
    </row>
    <row r="15" ht="26" customHeight="1">
      <c r="A15" s="26" t="n">
        <v>1</v>
      </c>
      <c r="B15" s="27" t="n"/>
      <c r="C15" s="28">
        <f>IFERROR(INDEX(Ref_Alimentos!$B$2:$B$101,MATCH($B15,Ref_Alimentos!$A$2:$A$101,0)),"")</f>
        <v/>
      </c>
      <c r="D15" s="29">
        <f>IFERROR(INDEX(Ref_Alimentos!$D$2:$D$101,MATCH($B15,Ref_Alimentos!$A$2:$A$101,0)),"")</f>
        <v/>
      </c>
      <c r="E15" s="26" t="n"/>
      <c r="F15" s="30">
        <f>IFERROR(INDEX(Ref_Alimentos!$C$2:$C$101,MATCH($B15,Ref_Alimentos!$A$2:$A$101,0)),"")</f>
        <v/>
      </c>
      <c r="G15" s="31" t="inlineStr"/>
      <c r="H15" s="32">
        <f>IF($B15="","",IF($F15="Evitar","⚠ Conflito",IF(AND($F15="Moderar",SUMPRODUCT(($B$15:$B$19&lt;&gt;"")*(ROW($B$15:$B$19)&lt;&gt;ROW($B15))*(($F$15:$F$19="Moderar")+($F$15:$F$19="Evitar")))&gt;0),"⚠ Conflito","")))</f>
        <v/>
      </c>
    </row>
    <row r="16" ht="26" customHeight="1">
      <c r="A16" s="26" t="n">
        <v>2</v>
      </c>
      <c r="B16" s="27" t="n"/>
      <c r="C16" s="28">
        <f>IFERROR(INDEX(Ref_Alimentos!$B$2:$B$101,MATCH($B16,Ref_Alimentos!$A$2:$A$101,0)),"")</f>
        <v/>
      </c>
      <c r="D16" s="29">
        <f>IFERROR(INDEX(Ref_Alimentos!$D$2:$D$101,MATCH($B16,Ref_Alimentos!$A$2:$A$101,0)),"")</f>
        <v/>
      </c>
      <c r="E16" s="26" t="n"/>
      <c r="F16" s="30">
        <f>IFERROR(INDEX(Ref_Alimentos!$C$2:$C$101,MATCH($B16,Ref_Alimentos!$A$2:$A$101,0)),"")</f>
        <v/>
      </c>
      <c r="G16" s="31">
        <f>IF($B15="","",IFERROR(INDEX(Ref_Alimentos!$R$2:$R$60,MATCH(IFERROR(INDEX(Ref_Alimentos!$U$2:$U$9,MATCH($C15,Ref_Alimentos!$T$2:$T$9,0)),"")&amp;"|"&amp;"Almoço",Ref_Alimentos!$Q$2:$Q$60,0)),""))</f>
        <v/>
      </c>
      <c r="H16" s="32">
        <f>IF($B16="","",IF($F16="Evitar","⚠ Conflito",IF(AND($F16="Moderar",SUMPRODUCT(($B$15:$B$19&lt;&gt;"")*(ROW($B$15:$B$19)&lt;&gt;ROW($B16))*(($F$15:$F$19="Moderar")+($F$15:$F$19="Evitar")))&gt;0),"⚠ Conflito","")))</f>
        <v/>
      </c>
    </row>
    <row r="17" ht="26" customHeight="1">
      <c r="A17" s="26" t="n">
        <v>3</v>
      </c>
      <c r="B17" s="27" t="n"/>
      <c r="C17" s="28">
        <f>IFERROR(INDEX(Ref_Alimentos!$B$2:$B$101,MATCH($B17,Ref_Alimentos!$A$2:$A$101,0)),"")</f>
        <v/>
      </c>
      <c r="D17" s="29">
        <f>IFERROR(INDEX(Ref_Alimentos!$D$2:$D$101,MATCH($B17,Ref_Alimentos!$A$2:$A$101,0)),"")</f>
        <v/>
      </c>
      <c r="E17" s="26" t="n"/>
      <c r="F17" s="30">
        <f>IFERROR(INDEX(Ref_Alimentos!$C$2:$C$101,MATCH($B17,Ref_Alimentos!$A$2:$A$101,0)),"")</f>
        <v/>
      </c>
      <c r="G17" s="31">
        <f>IF($B16="","",IFERROR(INDEX(Ref_Alimentos!$R$2:$R$60,MATCH(IFERROR(INDEX(Ref_Alimentos!$U$2:$U$9,MATCH($C16,Ref_Alimentos!$T$2:$T$9,0)),"")&amp;"|"&amp;"Almoço",Ref_Alimentos!$Q$2:$Q$60,0)),""))</f>
        <v/>
      </c>
      <c r="H17" s="32">
        <f>IF($B17="","",IF($F17="Evitar","⚠ Conflito",IF(AND($F17="Moderar",SUMPRODUCT(($B$15:$B$19&lt;&gt;"")*(ROW($B$15:$B$19)&lt;&gt;ROW($B17))*(($F$15:$F$19="Moderar")+($F$15:$F$19="Evitar")))&gt;0),"⚠ Conflito","")))</f>
        <v/>
      </c>
    </row>
    <row r="18" ht="26" customHeight="1">
      <c r="A18" s="26" t="n">
        <v>4</v>
      </c>
      <c r="B18" s="27" t="n"/>
      <c r="C18" s="28">
        <f>IFERROR(INDEX(Ref_Alimentos!$B$2:$B$101,MATCH($B18,Ref_Alimentos!$A$2:$A$101,0)),"")</f>
        <v/>
      </c>
      <c r="D18" s="29">
        <f>IFERROR(INDEX(Ref_Alimentos!$D$2:$D$101,MATCH($B18,Ref_Alimentos!$A$2:$A$101,0)),"")</f>
        <v/>
      </c>
      <c r="E18" s="26" t="n"/>
      <c r="F18" s="30">
        <f>IFERROR(INDEX(Ref_Alimentos!$C$2:$C$101,MATCH($B18,Ref_Alimentos!$A$2:$A$101,0)),"")</f>
        <v/>
      </c>
      <c r="G18" s="31">
        <f>IF($B17="","",IFERROR(INDEX(Ref_Alimentos!$R$2:$R$60,MATCH(IFERROR(INDEX(Ref_Alimentos!$U$2:$U$9,MATCH($C17,Ref_Alimentos!$T$2:$T$9,0)),"")&amp;"|"&amp;"Almoço",Ref_Alimentos!$Q$2:$Q$60,0)),""))</f>
        <v/>
      </c>
      <c r="H18" s="32">
        <f>IF($B18="","",IF($F18="Evitar","⚠ Conflito",IF(AND($F18="Moderar",SUMPRODUCT(($B$15:$B$19&lt;&gt;"")*(ROW($B$15:$B$19)&lt;&gt;ROW($B18))*(($F$15:$F$19="Moderar")+($F$15:$F$19="Evitar")))&gt;0),"⚠ Conflito","")))</f>
        <v/>
      </c>
    </row>
    <row r="19" ht="26" customHeight="1">
      <c r="A19" s="26" t="n">
        <v>5</v>
      </c>
      <c r="B19" s="27" t="n"/>
      <c r="C19" s="28">
        <f>IFERROR(INDEX(Ref_Alimentos!$B$2:$B$101,MATCH($B19,Ref_Alimentos!$A$2:$A$101,0)),"")</f>
        <v/>
      </c>
      <c r="D19" s="29">
        <f>IFERROR(INDEX(Ref_Alimentos!$D$2:$D$101,MATCH($B19,Ref_Alimentos!$A$2:$A$101,0)),"")</f>
        <v/>
      </c>
      <c r="E19" s="26" t="n"/>
      <c r="F19" s="30">
        <f>IFERROR(INDEX(Ref_Alimentos!$C$2:$C$101,MATCH($B19,Ref_Alimentos!$A$2:$A$101,0)),"")</f>
        <v/>
      </c>
      <c r="G19" s="31">
        <f>IF($B18="","",IFERROR(INDEX(Ref_Alimentos!$R$2:$R$60,MATCH(IFERROR(INDEX(Ref_Alimentos!$U$2:$U$9,MATCH($C18,Ref_Alimentos!$T$2:$T$9,0)),"")&amp;"|"&amp;"Almoço",Ref_Alimentos!$Q$2:$Q$60,0)),""))</f>
        <v/>
      </c>
      <c r="H19" s="32">
        <f>IF($B19="","",IF($F19="Evitar","⚠ Conflito",IF(AND($F19="Moderar",SUMPRODUCT(($B$15:$B$19&lt;&gt;"")*(ROW($B$15:$B$19)&lt;&gt;ROW($B19))*(($F$15:$F$19="Moderar")+($F$15:$F$19="Evitar")))&gt;0),"⚠ Conflito","")))</f>
        <v/>
      </c>
    </row>
    <row r="21" ht="20" customHeight="1">
      <c r="A21" s="24" t="inlineStr">
        <is>
          <t>LANCHE</t>
        </is>
      </c>
      <c r="B21" s="11" t="n"/>
      <c r="C21" s="11" t="n"/>
      <c r="D21" s="11" t="n"/>
      <c r="E21" s="11" t="n"/>
      <c r="F21" s="11" t="n"/>
      <c r="G21" s="11" t="n"/>
      <c r="H21" s="11" t="n"/>
    </row>
    <row r="22" ht="30" customHeight="1">
      <c r="A22" s="25" t="inlineStr">
        <is>
          <t>Nº</t>
        </is>
      </c>
      <c r="B22" s="25" t="inlineStr">
        <is>
          <t>Alimento</t>
        </is>
      </c>
      <c r="C22" s="25" t="inlineStr">
        <is>
          <t>Categoria</t>
        </is>
      </c>
      <c r="D22" s="25" t="inlineStr">
        <is>
          <t>Porção sugerida</t>
        </is>
      </c>
      <c r="E22" s="25" t="inlineStr">
        <is>
          <t>Quantidade a comer</t>
        </is>
      </c>
      <c r="F22" s="25" t="inlineStr">
        <is>
          <t>Classificação</t>
        </is>
      </c>
      <c r="G22" s="25" t="inlineStr">
        <is>
          <t>Sugestão (com base no item anterior)</t>
        </is>
      </c>
      <c r="H22" s="25" t="inlineStr">
        <is>
          <t>Conflito</t>
        </is>
      </c>
    </row>
    <row r="23" ht="26" customHeight="1">
      <c r="A23" s="26" t="n">
        <v>1</v>
      </c>
      <c r="B23" s="27" t="n"/>
      <c r="C23" s="28">
        <f>IFERROR(INDEX(Ref_Alimentos!$B$2:$B$101,MATCH($B23,Ref_Alimentos!$A$2:$A$101,0)),"")</f>
        <v/>
      </c>
      <c r="D23" s="29">
        <f>IFERROR(INDEX(Ref_Alimentos!$D$2:$D$101,MATCH($B23,Ref_Alimentos!$A$2:$A$101,0)),"")</f>
        <v/>
      </c>
      <c r="E23" s="26" t="n"/>
      <c r="F23" s="30">
        <f>IFERROR(INDEX(Ref_Alimentos!$C$2:$C$101,MATCH($B23,Ref_Alimentos!$A$2:$A$101,0)),"")</f>
        <v/>
      </c>
      <c r="G23" s="31" t="inlineStr"/>
      <c r="H23" s="32">
        <f>IF($B23="","",IF($F23="Evitar","⚠ Conflito",IF(AND($F23="Moderar",SUMPRODUCT(($B$23:$B$27&lt;&gt;"")*(ROW($B$23:$B$27)&lt;&gt;ROW($B23))*(($F$23:$F$27="Moderar")+($F$23:$F$27="Evitar")))&gt;0),"⚠ Conflito","")))</f>
        <v/>
      </c>
    </row>
    <row r="24" ht="26" customHeight="1">
      <c r="A24" s="26" t="n">
        <v>2</v>
      </c>
      <c r="B24" s="27" t="n"/>
      <c r="C24" s="28">
        <f>IFERROR(INDEX(Ref_Alimentos!$B$2:$B$101,MATCH($B24,Ref_Alimentos!$A$2:$A$101,0)),"")</f>
        <v/>
      </c>
      <c r="D24" s="29">
        <f>IFERROR(INDEX(Ref_Alimentos!$D$2:$D$101,MATCH($B24,Ref_Alimentos!$A$2:$A$101,0)),"")</f>
        <v/>
      </c>
      <c r="E24" s="26" t="n"/>
      <c r="F24" s="30">
        <f>IFERROR(INDEX(Ref_Alimentos!$C$2:$C$101,MATCH($B24,Ref_Alimentos!$A$2:$A$101,0)),"")</f>
        <v/>
      </c>
      <c r="G24" s="31">
        <f>IF($B23="","",IFERROR(INDEX(Ref_Alimentos!$R$2:$R$60,MATCH(IFERROR(INDEX(Ref_Alimentos!$U$2:$U$9,MATCH($C23,Ref_Alimentos!$T$2:$T$9,0)),"")&amp;"|"&amp;"Lanche",Ref_Alimentos!$Q$2:$Q$60,0)),""))</f>
        <v/>
      </c>
      <c r="H24" s="32">
        <f>IF($B24="","",IF($F24="Evitar","⚠ Conflito",IF(AND($F24="Moderar",SUMPRODUCT(($B$23:$B$27&lt;&gt;"")*(ROW($B$23:$B$27)&lt;&gt;ROW($B24))*(($F$23:$F$27="Moderar")+($F$23:$F$27="Evitar")))&gt;0),"⚠ Conflito","")))</f>
        <v/>
      </c>
    </row>
    <row r="25" ht="26" customHeight="1">
      <c r="A25" s="26" t="n">
        <v>3</v>
      </c>
      <c r="B25" s="27" t="n"/>
      <c r="C25" s="28">
        <f>IFERROR(INDEX(Ref_Alimentos!$B$2:$B$101,MATCH($B25,Ref_Alimentos!$A$2:$A$101,0)),"")</f>
        <v/>
      </c>
      <c r="D25" s="29">
        <f>IFERROR(INDEX(Ref_Alimentos!$D$2:$D$101,MATCH($B25,Ref_Alimentos!$A$2:$A$101,0)),"")</f>
        <v/>
      </c>
      <c r="E25" s="26" t="n"/>
      <c r="F25" s="30">
        <f>IFERROR(INDEX(Ref_Alimentos!$C$2:$C$101,MATCH($B25,Ref_Alimentos!$A$2:$A$101,0)),"")</f>
        <v/>
      </c>
      <c r="G25" s="31">
        <f>IF($B24="","",IFERROR(INDEX(Ref_Alimentos!$R$2:$R$60,MATCH(IFERROR(INDEX(Ref_Alimentos!$U$2:$U$9,MATCH($C24,Ref_Alimentos!$T$2:$T$9,0)),"")&amp;"|"&amp;"Lanche",Ref_Alimentos!$Q$2:$Q$60,0)),""))</f>
        <v/>
      </c>
      <c r="H25" s="32">
        <f>IF($B25="","",IF($F25="Evitar","⚠ Conflito",IF(AND($F25="Moderar",SUMPRODUCT(($B$23:$B$27&lt;&gt;"")*(ROW($B$23:$B$27)&lt;&gt;ROW($B25))*(($F$23:$F$27="Moderar")+($F$23:$F$27="Evitar")))&gt;0),"⚠ Conflito","")))</f>
        <v/>
      </c>
    </row>
    <row r="26" ht="26" customHeight="1">
      <c r="A26" s="26" t="n">
        <v>4</v>
      </c>
      <c r="B26" s="27" t="n"/>
      <c r="C26" s="28">
        <f>IFERROR(INDEX(Ref_Alimentos!$B$2:$B$101,MATCH($B26,Ref_Alimentos!$A$2:$A$101,0)),"")</f>
        <v/>
      </c>
      <c r="D26" s="29">
        <f>IFERROR(INDEX(Ref_Alimentos!$D$2:$D$101,MATCH($B26,Ref_Alimentos!$A$2:$A$101,0)),"")</f>
        <v/>
      </c>
      <c r="E26" s="26" t="n"/>
      <c r="F26" s="30">
        <f>IFERROR(INDEX(Ref_Alimentos!$C$2:$C$101,MATCH($B26,Ref_Alimentos!$A$2:$A$101,0)),"")</f>
        <v/>
      </c>
      <c r="G26" s="31">
        <f>IF($B25="","",IFERROR(INDEX(Ref_Alimentos!$R$2:$R$60,MATCH(IFERROR(INDEX(Ref_Alimentos!$U$2:$U$9,MATCH($C25,Ref_Alimentos!$T$2:$T$9,0)),"")&amp;"|"&amp;"Lanche",Ref_Alimentos!$Q$2:$Q$60,0)),""))</f>
        <v/>
      </c>
      <c r="H26" s="32">
        <f>IF($B26="","",IF($F26="Evitar","⚠ Conflito",IF(AND($F26="Moderar",SUMPRODUCT(($B$23:$B$27&lt;&gt;"")*(ROW($B$23:$B$27)&lt;&gt;ROW($B26))*(($F$23:$F$27="Moderar")+($F$23:$F$27="Evitar")))&gt;0),"⚠ Conflito","")))</f>
        <v/>
      </c>
    </row>
    <row r="27" ht="26" customHeight="1">
      <c r="A27" s="26" t="n">
        <v>5</v>
      </c>
      <c r="B27" s="27" t="n"/>
      <c r="C27" s="28">
        <f>IFERROR(INDEX(Ref_Alimentos!$B$2:$B$101,MATCH($B27,Ref_Alimentos!$A$2:$A$101,0)),"")</f>
        <v/>
      </c>
      <c r="D27" s="29">
        <f>IFERROR(INDEX(Ref_Alimentos!$D$2:$D$101,MATCH($B27,Ref_Alimentos!$A$2:$A$101,0)),"")</f>
        <v/>
      </c>
      <c r="E27" s="26" t="n"/>
      <c r="F27" s="30">
        <f>IFERROR(INDEX(Ref_Alimentos!$C$2:$C$101,MATCH($B27,Ref_Alimentos!$A$2:$A$101,0)),"")</f>
        <v/>
      </c>
      <c r="G27" s="31">
        <f>IF($B26="","",IFERROR(INDEX(Ref_Alimentos!$R$2:$R$60,MATCH(IFERROR(INDEX(Ref_Alimentos!$U$2:$U$9,MATCH($C26,Ref_Alimentos!$T$2:$T$9,0)),"")&amp;"|"&amp;"Lanche",Ref_Alimentos!$Q$2:$Q$60,0)),""))</f>
        <v/>
      </c>
      <c r="H27" s="32">
        <f>IF($B27="","",IF($F27="Evitar","⚠ Conflito",IF(AND($F27="Moderar",SUMPRODUCT(($B$23:$B$27&lt;&gt;"")*(ROW($B$23:$B$27)&lt;&gt;ROW($B27))*(($F$23:$F$27="Moderar")+($F$23:$F$27="Evitar")))&gt;0),"⚠ Conflito","")))</f>
        <v/>
      </c>
    </row>
    <row r="29" ht="20" customHeight="1">
      <c r="A29" s="24" t="inlineStr">
        <is>
          <t>JANTAR</t>
        </is>
      </c>
      <c r="B29" s="11" t="n"/>
      <c r="C29" s="11" t="n"/>
      <c r="D29" s="11" t="n"/>
      <c r="E29" s="11" t="n"/>
      <c r="F29" s="11" t="n"/>
      <c r="G29" s="11" t="n"/>
      <c r="H29" s="11" t="n"/>
    </row>
    <row r="30" ht="30" customHeight="1">
      <c r="A30" s="25" t="inlineStr">
        <is>
          <t>Nº</t>
        </is>
      </c>
      <c r="B30" s="25" t="inlineStr">
        <is>
          <t>Alimento</t>
        </is>
      </c>
      <c r="C30" s="25" t="inlineStr">
        <is>
          <t>Categoria</t>
        </is>
      </c>
      <c r="D30" s="25" t="inlineStr">
        <is>
          <t>Porção sugerida</t>
        </is>
      </c>
      <c r="E30" s="25" t="inlineStr">
        <is>
          <t>Quantidade a comer</t>
        </is>
      </c>
      <c r="F30" s="25" t="inlineStr">
        <is>
          <t>Classificação</t>
        </is>
      </c>
      <c r="G30" s="25" t="inlineStr">
        <is>
          <t>Sugestão (com base no item anterior)</t>
        </is>
      </c>
      <c r="H30" s="25" t="inlineStr">
        <is>
          <t>Conflito</t>
        </is>
      </c>
    </row>
    <row r="31" ht="26" customHeight="1">
      <c r="A31" s="26" t="n">
        <v>1</v>
      </c>
      <c r="B31" s="27" t="n"/>
      <c r="C31" s="28">
        <f>IFERROR(INDEX(Ref_Alimentos!$B$2:$B$101,MATCH($B31,Ref_Alimentos!$A$2:$A$101,0)),"")</f>
        <v/>
      </c>
      <c r="D31" s="29">
        <f>IFERROR(INDEX(Ref_Alimentos!$D$2:$D$101,MATCH($B31,Ref_Alimentos!$A$2:$A$101,0)),"")</f>
        <v/>
      </c>
      <c r="E31" s="26" t="n"/>
      <c r="F31" s="30">
        <f>IFERROR(INDEX(Ref_Alimentos!$C$2:$C$101,MATCH($B31,Ref_Alimentos!$A$2:$A$101,0)),"")</f>
        <v/>
      </c>
      <c r="G31" s="31" t="inlineStr"/>
      <c r="H31" s="32">
        <f>IF($B31="","",IF($F31="Evitar","⚠ Conflito",IF(AND($F31="Moderar",SUMPRODUCT(($B$31:$B$35&lt;&gt;"")*(ROW($B$31:$B$35)&lt;&gt;ROW($B31))*(($F$31:$F$35="Moderar")+($F$31:$F$35="Evitar")))&gt;0),"⚠ Conflito","")))</f>
        <v/>
      </c>
    </row>
    <row r="32" ht="26" customHeight="1">
      <c r="A32" s="26" t="n">
        <v>2</v>
      </c>
      <c r="B32" s="27" t="n"/>
      <c r="C32" s="28">
        <f>IFERROR(INDEX(Ref_Alimentos!$B$2:$B$101,MATCH($B32,Ref_Alimentos!$A$2:$A$101,0)),"")</f>
        <v/>
      </c>
      <c r="D32" s="29">
        <f>IFERROR(INDEX(Ref_Alimentos!$D$2:$D$101,MATCH($B32,Ref_Alimentos!$A$2:$A$101,0)),"")</f>
        <v/>
      </c>
      <c r="E32" s="26" t="n"/>
      <c r="F32" s="30">
        <f>IFERROR(INDEX(Ref_Alimentos!$C$2:$C$101,MATCH($B32,Ref_Alimentos!$A$2:$A$101,0)),"")</f>
        <v/>
      </c>
      <c r="G32" s="31">
        <f>IF($B31="","",IFERROR(INDEX(Ref_Alimentos!$R$2:$R$60,MATCH(IFERROR(INDEX(Ref_Alimentos!$U$2:$U$9,MATCH($C31,Ref_Alimentos!$T$2:$T$9,0)),"")&amp;"|"&amp;"Jantar",Ref_Alimentos!$Q$2:$Q$60,0)),""))</f>
        <v/>
      </c>
      <c r="H32" s="32">
        <f>IF($B32="","",IF($F32="Evitar","⚠ Conflito",IF(AND($F32="Moderar",SUMPRODUCT(($B$31:$B$35&lt;&gt;"")*(ROW($B$31:$B$35)&lt;&gt;ROW($B32))*(($F$31:$F$35="Moderar")+($F$31:$F$35="Evitar")))&gt;0),"⚠ Conflito","")))</f>
        <v/>
      </c>
    </row>
    <row r="33" ht="26" customHeight="1">
      <c r="A33" s="26" t="n">
        <v>3</v>
      </c>
      <c r="B33" s="27" t="n"/>
      <c r="C33" s="28">
        <f>IFERROR(INDEX(Ref_Alimentos!$B$2:$B$101,MATCH($B33,Ref_Alimentos!$A$2:$A$101,0)),"")</f>
        <v/>
      </c>
      <c r="D33" s="29">
        <f>IFERROR(INDEX(Ref_Alimentos!$D$2:$D$101,MATCH($B33,Ref_Alimentos!$A$2:$A$101,0)),"")</f>
        <v/>
      </c>
      <c r="E33" s="26" t="n"/>
      <c r="F33" s="30">
        <f>IFERROR(INDEX(Ref_Alimentos!$C$2:$C$101,MATCH($B33,Ref_Alimentos!$A$2:$A$101,0)),"")</f>
        <v/>
      </c>
      <c r="G33" s="31">
        <f>IF($B32="","",IFERROR(INDEX(Ref_Alimentos!$R$2:$R$60,MATCH(IFERROR(INDEX(Ref_Alimentos!$U$2:$U$9,MATCH($C32,Ref_Alimentos!$T$2:$T$9,0)),"")&amp;"|"&amp;"Jantar",Ref_Alimentos!$Q$2:$Q$60,0)),""))</f>
        <v/>
      </c>
      <c r="H33" s="32">
        <f>IF($B33="","",IF($F33="Evitar","⚠ Conflito",IF(AND($F33="Moderar",SUMPRODUCT(($B$31:$B$35&lt;&gt;"")*(ROW($B$31:$B$35)&lt;&gt;ROW($B33))*(($F$31:$F$35="Moderar")+($F$31:$F$35="Evitar")))&gt;0),"⚠ Conflito","")))</f>
        <v/>
      </c>
    </row>
    <row r="34" ht="26" customHeight="1">
      <c r="A34" s="26" t="n">
        <v>4</v>
      </c>
      <c r="B34" s="27" t="n"/>
      <c r="C34" s="28">
        <f>IFERROR(INDEX(Ref_Alimentos!$B$2:$B$101,MATCH($B34,Ref_Alimentos!$A$2:$A$101,0)),"")</f>
        <v/>
      </c>
      <c r="D34" s="29">
        <f>IFERROR(INDEX(Ref_Alimentos!$D$2:$D$101,MATCH($B34,Ref_Alimentos!$A$2:$A$101,0)),"")</f>
        <v/>
      </c>
      <c r="E34" s="26" t="n"/>
      <c r="F34" s="30">
        <f>IFERROR(INDEX(Ref_Alimentos!$C$2:$C$101,MATCH($B34,Ref_Alimentos!$A$2:$A$101,0)),"")</f>
        <v/>
      </c>
      <c r="G34" s="31">
        <f>IF($B33="","",IFERROR(INDEX(Ref_Alimentos!$R$2:$R$60,MATCH(IFERROR(INDEX(Ref_Alimentos!$U$2:$U$9,MATCH($C33,Ref_Alimentos!$T$2:$T$9,0)),"")&amp;"|"&amp;"Jantar",Ref_Alimentos!$Q$2:$Q$60,0)),""))</f>
        <v/>
      </c>
      <c r="H34" s="32">
        <f>IF($B34="","",IF($F34="Evitar","⚠ Conflito",IF(AND($F34="Moderar",SUMPRODUCT(($B$31:$B$35&lt;&gt;"")*(ROW($B$31:$B$35)&lt;&gt;ROW($B34))*(($F$31:$F$35="Moderar")+($F$31:$F$35="Evitar")))&gt;0),"⚠ Conflito","")))</f>
        <v/>
      </c>
    </row>
    <row r="35" ht="26" customHeight="1">
      <c r="A35" s="26" t="n">
        <v>5</v>
      </c>
      <c r="B35" s="27" t="n"/>
      <c r="C35" s="28">
        <f>IFERROR(INDEX(Ref_Alimentos!$B$2:$B$101,MATCH($B35,Ref_Alimentos!$A$2:$A$101,0)),"")</f>
        <v/>
      </c>
      <c r="D35" s="29">
        <f>IFERROR(INDEX(Ref_Alimentos!$D$2:$D$101,MATCH($B35,Ref_Alimentos!$A$2:$A$101,0)),"")</f>
        <v/>
      </c>
      <c r="E35" s="26" t="n"/>
      <c r="F35" s="30">
        <f>IFERROR(INDEX(Ref_Alimentos!$C$2:$C$101,MATCH($B35,Ref_Alimentos!$A$2:$A$101,0)),"")</f>
        <v/>
      </c>
      <c r="G35" s="31">
        <f>IF($B34="","",IFERROR(INDEX(Ref_Alimentos!$R$2:$R$60,MATCH(IFERROR(INDEX(Ref_Alimentos!$U$2:$U$9,MATCH($C34,Ref_Alimentos!$T$2:$T$9,0)),"")&amp;"|"&amp;"Jantar",Ref_Alimentos!$Q$2:$Q$60,0)),""))</f>
        <v/>
      </c>
      <c r="H35" s="32">
        <f>IF($B35="","",IF($F35="Evitar","⚠ Conflito",IF(AND($F35="Moderar",SUMPRODUCT(($B$31:$B$35&lt;&gt;"")*(ROW($B$31:$B$35)&lt;&gt;ROW($B35))*(($F$31:$F$35="Moderar")+($F$31:$F$35="Evitar")))&gt;0),"⚠ Conflito","")))</f>
        <v/>
      </c>
    </row>
    <row r="37" ht="44"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6" customHeight="1">
      <c r="A1" s="1" t="inlineStr">
        <is>
          <t>Fontes e Referências — de onde vieram as informações médicas</t>
        </is>
      </c>
    </row>
    <row r="2" ht="56" customHeight="1">
      <c r="A2" s="18"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3" t="n">
        <v>1</v>
      </c>
      <c r="B4" s="34" t="inlineStr">
        <is>
          <t>Suco de toranja em quantidade alta quase dobra o nível de Ticagrelor no sangue e aumenta seu efeito antiagregante</t>
        </is>
      </c>
      <c r="C4" s="35" t="inlineStr">
        <is>
          <t>Holmberg et al., 2013, Br J Clin Pharmacol (PubMed)</t>
        </is>
      </c>
      <c r="D4" s="34" t="inlineStr">
        <is>
          <t>Estudo clínico revisado por pares</t>
        </is>
      </c>
      <c r="E4" s="33" t="inlineStr">
        <is>
          <t>Alimentação</t>
        </is>
      </c>
      <c r="F4" s="36" t="inlineStr">
        <is>
          <t>https://pubmed.ncbi.nlm.nih.gov/23126367/</t>
        </is>
      </c>
    </row>
    <row r="5" ht="36" customHeight="1">
      <c r="A5" s="33" t="n">
        <v>2</v>
      </c>
      <c r="B5" s="34" t="inlineStr">
        <is>
          <t>Bula brasileira do Brilinta (Ticagrelor) cita esse estudo e orienta evitar suco de toranja em grande quantidade</t>
        </is>
      </c>
      <c r="C5" s="35" t="inlineStr">
        <is>
          <t>Bula profissional Brilinta, AstraZeneca do Brasil (aprovada pela Anvisa)</t>
        </is>
      </c>
      <c r="D5" s="34" t="inlineStr">
        <is>
          <t>Bula oficial (Anvisa)</t>
        </is>
      </c>
      <c r="E5" s="33" t="inlineStr">
        <is>
          <t>Alimentação</t>
        </is>
      </c>
      <c r="F5" s="36" t="inlineStr">
        <is>
          <t>https://www.azmed.com.br/content/dam/multibrand/br/pt/azmed-2022/home/bulas-profissionais/bulas/Brilinta_Bula_Profissional.pdf</t>
        </is>
      </c>
    </row>
    <row r="6" ht="36" customHeight="1">
      <c r="A6" s="33" t="n">
        <v>3</v>
      </c>
      <c r="B6" s="34" t="inlineStr">
        <is>
          <t>Enalapril (IECA) + sal light/suplemento de potássio aumenta risco de hipercalemia</t>
        </is>
      </c>
      <c r="C6" s="35" t="inlineStr">
        <is>
          <t>StatPearls (NCBI Bookshelf), "Enalapril"</t>
        </is>
      </c>
      <c r="D6" s="34" t="inlineStr">
        <is>
          <t>Referência clínica revisada por pares</t>
        </is>
      </c>
      <c r="E6" s="33" t="inlineStr">
        <is>
          <t>Alimentação</t>
        </is>
      </c>
      <c r="F6" s="36" t="inlineStr">
        <is>
          <t>https://www.ncbi.nlm.nih.gov/books/NBK557708/</t>
        </is>
      </c>
    </row>
    <row r="7" ht="36" customHeight="1">
      <c r="A7" s="33" t="n">
        <v>4</v>
      </c>
      <c r="B7" s="34" t="inlineStr">
        <is>
          <t>Álcool combinado com Aspirina aumenta o risco de sangramento gastrointestinal alto</t>
        </is>
      </c>
      <c r="C7" s="35" t="inlineStr">
        <is>
          <t>Kaufman et al., 1999, Ann Epidemiol (PubMed)</t>
        </is>
      </c>
      <c r="D7" s="34" t="inlineStr">
        <is>
          <t>Estudo epidemiológico revisado por pares</t>
        </is>
      </c>
      <c r="E7" s="33" t="inlineStr">
        <is>
          <t>Alimentação</t>
        </is>
      </c>
      <c r="F7" s="36" t="inlineStr">
        <is>
          <t>https://pubmed.ncbi.nlm.nih.gov/10566713/</t>
        </is>
      </c>
    </row>
    <row r="8" ht="36" customHeight="1">
      <c r="A8" s="33" t="n">
        <v>5</v>
      </c>
      <c r="B8" s="34" t="inlineStr">
        <is>
          <t>Arroz de levedura vermelha (red yeast rice) pode causar os mesmos efeitos colaterais e interações de uma estatina</t>
        </is>
      </c>
      <c r="C8" s="35" t="inlineStr">
        <is>
          <t>NIH — National Center for Complementary and Integrative Health</t>
        </is>
      </c>
      <c r="D8" s="34" t="inlineStr">
        <is>
          <t>Órgão oficial do governo dos EUA (NIH)</t>
        </is>
      </c>
      <c r="E8" s="33" t="inlineStr">
        <is>
          <t>Alimentação</t>
        </is>
      </c>
      <c r="F8" s="36" t="inlineStr">
        <is>
          <t>https://www.nccih.nih.gov/health/red-yeast-rice</t>
        </is>
      </c>
    </row>
    <row r="9" ht="36" customHeight="1">
      <c r="A9" s="33" t="n">
        <v>6</v>
      </c>
      <c r="B9" s="34" t="inlineStr">
        <is>
          <t>Rosuvastatina não tem interação relevante com toranja (via CYP2C9, diferente da via CYP3A4 usada pelo Ticagrelor)</t>
        </is>
      </c>
      <c r="C9" s="35" t="inlineStr">
        <is>
          <t>Bailey DG et al., 2013, CMAJ, "Grapefruit-medication interactions"</t>
        </is>
      </c>
      <c r="D9" s="34" t="inlineStr">
        <is>
          <t>Revisão científica revisada por pares</t>
        </is>
      </c>
      <c r="E9" s="33" t="inlineStr">
        <is>
          <t>Alimentação</t>
        </is>
      </c>
      <c r="F9" s="36" t="inlineStr">
        <is>
          <t>https://pmc.ncbi.nlm.nih.gov/articles/PMC3589309/</t>
        </is>
      </c>
    </row>
    <row r="10" ht="36" customHeight="1">
      <c r="A10" s="33" t="n">
        <v>7</v>
      </c>
      <c r="B10" s="34" t="inlineStr">
        <is>
          <t>Duração de 12 meses de dupla antiagregação (Aspirina + Ticagrelor) após stent em síndrome coronariana aguda</t>
        </is>
      </c>
      <c r="C10" s="35" t="inlineStr">
        <is>
          <t>2016 ACC/AHA Guideline Focused Update on DAPT; reafirmado na diretriz ACS 2025 (JACC)</t>
        </is>
      </c>
      <c r="D10" s="34" t="inlineStr">
        <is>
          <t>Diretriz de sociedades médicas (ACC/AHA)</t>
        </is>
      </c>
      <c r="E10" s="33" t="inlineStr">
        <is>
          <t>Alimentação</t>
        </is>
      </c>
      <c r="F10" s="36" t="inlineStr">
        <is>
          <t>https://www.acc.org/latest-in-cardiology/ten-points-to-remember/2016/03/25/14/56/2016-acc-aha-guideline-focused-update-on-dapt</t>
        </is>
      </c>
    </row>
    <row r="11" ht="50" customHeight="1">
      <c r="A11" s="33" t="n">
        <v>8</v>
      </c>
      <c r="B11" s="34" t="inlineStr">
        <is>
          <t>Metas de LDL pós-infarto: &lt;50 mg/dL (SBC 2017); &lt;40 mg/dL na categoria "risco extremo" (SBC 2025, com critérios adicionais); &lt;55 mg/dL (ESC/EAS 2019 e ACC/AHA, risco muito alto)</t>
        </is>
      </c>
      <c r="C11" s="35" t="inlineStr">
        <is>
          <t>Diretriz Brasileira de Dislipidemias e Prevenção da Aterosclerose 2025 (SBC), Arq Bras Cardiol</t>
        </is>
      </c>
      <c r="D11" s="34" t="inlineStr">
        <is>
          <t>Diretriz de sociedade médica (SBC)</t>
        </is>
      </c>
      <c r="E11" s="33" t="inlineStr">
        <is>
          <t>Alimentação</t>
        </is>
      </c>
      <c r="F11" s="36" t="inlineStr">
        <is>
          <t>https://www.scielo.br/j/abc/a/tRJrwGzKX6C4GvMqdJpZcGk/?lang=pt</t>
        </is>
      </c>
    </row>
    <row r="12" ht="50" customHeight="1">
      <c r="A12" s="33" t="n">
        <v>9</v>
      </c>
      <c r="B12" s="34" t="inlineStr">
        <is>
          <t>Diretriz alimentar cardioprotetora: sódio controlado, gordura saturada &lt;6% das calorias, padrão Mediterrâneo/DASH</t>
        </is>
      </c>
      <c r="C12" s="35" t="inlineStr">
        <is>
          <t>American Heart Association — AHA Diet and Lifestyle Recommendations / 2026 Dietary Guidance to Improve Cardiovascular Health (Circulation)</t>
        </is>
      </c>
      <c r="D12" s="34" t="inlineStr">
        <is>
          <t>Diretriz de sociedade médica (AHA)</t>
        </is>
      </c>
      <c r="E12" s="33" t="inlineStr">
        <is>
          <t>Alimentação</t>
        </is>
      </c>
      <c r="F12" s="36" t="inlineStr">
        <is>
          <t>https://www.heart.org/en/healthy-living/healthy-eating/eat-smart/nutrition-basics/aha-diet-and-lifestyle-recommendations</t>
        </is>
      </c>
    </row>
    <row r="13" ht="36" customHeight="1">
      <c r="A13" s="33" t="n">
        <v>10</v>
      </c>
      <c r="B13" s="34" t="inlineStr">
        <is>
          <t>No Brasil, a Dieta Cardioprotetora Brasileira (DICA Br) aplica essas mesmas recomendações a alimentos típicos brasileiros</t>
        </is>
      </c>
      <c r="C13" s="35" t="inlineStr">
        <is>
          <t>I Diretriz Brasileira de Prevenção Cardiovascular (SBC), Arq Bras Cardiol</t>
        </is>
      </c>
      <c r="D13" s="34" t="inlineStr">
        <is>
          <t>Diretriz de sociedade médica (SBC)</t>
        </is>
      </c>
      <c r="E13" s="33" t="inlineStr">
        <is>
          <t>Alimentação</t>
        </is>
      </c>
      <c r="F13" s="36" t="inlineStr">
        <is>
          <t>https://www.scielo.br/j/abc/a/X94tMKwdnBjkCzVKpXwBqmD/?lang=pt</t>
        </is>
      </c>
    </row>
    <row r="14" ht="36" customHeight="1">
      <c r="A14" s="33" t="n">
        <v>11</v>
      </c>
      <c r="B14" s="34" t="inlineStr">
        <is>
          <t>Critério objetivo de Lesão Renal Aguda (LRA) estágio 1: creatinina sobe ≥0,3 mg/dL em 48h</t>
        </is>
      </c>
      <c r="C14" s="35" t="inlineStr">
        <is>
          <t>KDIGO — Clinical Practice Guideline for Acute Kidney Injury, 2012</t>
        </is>
      </c>
      <c r="D14" s="34" t="inlineStr">
        <is>
          <t>Diretriz de sociedade médica (KDIGO)</t>
        </is>
      </c>
      <c r="E14" s="33" t="inlineStr">
        <is>
          <t>Clínico geral</t>
        </is>
      </c>
      <c r="F14" s="36" t="inlineStr">
        <is>
          <t>https://kdigo.org/wp-content/uploads/2016/10/KDIGO-2012-AKI-Guideline-English.pdf</t>
        </is>
      </c>
    </row>
    <row r="15" ht="36" customHeight="1">
      <c r="A15" s="33" t="n">
        <v>12</v>
      </c>
      <c r="B15" s="34" t="inlineStr">
        <is>
          <t>Exame padrão para proteinúria é a relação albumina/creatinina urinária (ACR/RAC), categorias A1/A2/A3</t>
        </is>
      </c>
      <c r="C15" s="35" t="inlineStr">
        <is>
          <t>KDIGO — Clinical Practice Guideline for CKD, 2012 (categorias mantidas na atualização 2024)</t>
        </is>
      </c>
      <c r="D15" s="34" t="inlineStr">
        <is>
          <t>Diretriz de sociedade médica (KDIGO)</t>
        </is>
      </c>
      <c r="E15" s="33" t="inlineStr">
        <is>
          <t>Clínico geral</t>
        </is>
      </c>
      <c r="F15" s="36" t="inlineStr">
        <is>
          <t>https://kdigo.org/wp-content/uploads/2017/02/KDIGO_2012_CKD_GL.pdf</t>
        </is>
      </c>
    </row>
    <row r="16" ht="36" customHeight="1">
      <c r="A16" s="33" t="n">
        <v>13</v>
      </c>
      <c r="B16" s="34" t="inlineStr">
        <is>
          <t>Múltiplas exposições a contraste em dias próximos são fator de risco para lesão renal por contraste, com pico em 3-5 dias e resolução em 7-14 dias</t>
        </is>
      </c>
      <c r="C16" s="35" t="inlineStr">
        <is>
          <t>ESUR — Post-contrast acute kidney injury, Guidelines v10.0, 2018</t>
        </is>
      </c>
      <c r="D16" s="34" t="inlineStr">
        <is>
          <t>Diretriz de sociedade médica (ESUR)</t>
        </is>
      </c>
      <c r="E16" s="33" t="inlineStr">
        <is>
          <t>Clínico geral</t>
        </is>
      </c>
      <c r="F16" s="36" t="inlineStr">
        <is>
          <t>https://www.esur.org/wp-content/uploads/2022/03/ESUR-Guidelines-10_0-Final-Version.pdf</t>
        </is>
      </c>
    </row>
    <row r="17" ht="36" customHeight="1">
      <c r="A17" s="33" t="n">
        <v>14</v>
      </c>
      <c r="B17" s="34" t="inlineStr">
        <is>
          <t>Definição de infarto periprocedimento (tipo 4a): troponina &gt;5x o limite superior + evidência de nova isquemia</t>
        </is>
      </c>
      <c r="C17" s="35" t="inlineStr">
        <is>
          <t>Thygesen K, Alpert JS et al. — Fourth Universal Definition of Myocardial Infarction, 2018</t>
        </is>
      </c>
      <c r="D17" s="34" t="inlineStr">
        <is>
          <t>Documento conjunto de sociedades médicas (ESC/ACC/AHA/WHF)</t>
        </is>
      </c>
      <c r="E17" s="33" t="inlineStr">
        <is>
          <t>Clínico geral</t>
        </is>
      </c>
      <c r="F17" s="36" t="inlineStr">
        <is>
          <t>https://www.ahajournals.org/doi/10.1161/CIR.0000000000000617</t>
        </is>
      </c>
    </row>
    <row r="18" ht="50" customHeight="1">
      <c r="A18" s="33" t="n">
        <v>15</v>
      </c>
      <c r="B18" s="34" t="inlineStr">
        <is>
          <t>Limiares de segurança para manter um IECA (Enalapril): potássio até 5,5 mmol/L e creatinina com alta até 50% (abaixo de 3 mg/dL) são toleráveis; reexame em 1-2 semanas</t>
        </is>
      </c>
      <c r="C18" s="35" t="inlineStr">
        <is>
          <t>ESC — Guidelines for the diagnosis and treatment of acute and chronic heart failure, 2021</t>
        </is>
      </c>
      <c r="D18" s="34" t="inlineStr">
        <is>
          <t>Diretriz de sociedade médica (ESC)</t>
        </is>
      </c>
      <c r="E18" s="33" t="inlineStr">
        <is>
          <t>Clínico geral</t>
        </is>
      </c>
      <c r="F18" s="36" t="inlineStr">
        <is>
          <t>https://academic.oup.com/eurheartj/article/42/36/3599/6358045</t>
        </is>
      </c>
    </row>
    <row r="19" ht="36" customHeight="1">
      <c r="A19" s="33" t="n">
        <v>16</v>
      </c>
      <c r="B19" s="34" t="inlineStr">
        <is>
          <t>Reforço da duração de 12 meses de dupla antiagregação após síndrome coronariana aguda</t>
        </is>
      </c>
      <c r="C19" s="35" t="inlineStr">
        <is>
          <t>ESC — Guidelines for the management of acute coronary syndromes, 2023</t>
        </is>
      </c>
      <c r="D19" s="34" t="inlineStr">
        <is>
          <t>Diretriz de sociedade médica (ESC)</t>
        </is>
      </c>
      <c r="E19" s="33" t="inlineStr">
        <is>
          <t>Clínico geral</t>
        </is>
      </c>
      <c r="F19" s="36" t="inlineStr">
        <is>
          <t>https://academic.oup.com/eurheartj/article/45/14/1193/7516285</t>
        </is>
      </c>
    </row>
    <row r="20" ht="36" customHeight="1">
      <c r="A20" s="33" t="n">
        <v>17</v>
      </c>
      <c r="B20" s="34" t="inlineStr">
        <is>
          <t>Encaminhamento para reabilitação cardíaca antes da alta é recomendação Classe 1 (a mais forte) após síndrome coronariana aguda</t>
        </is>
      </c>
      <c r="C20" s="35" t="inlineStr">
        <is>
          <t>ACC/AHA/ACEP/NAEMSP/SCAI — Guideline for the Management of Patients With Acute Coronary Syndromes, 2025</t>
        </is>
      </c>
      <c r="D20" s="34" t="inlineStr">
        <is>
          <t>Diretriz de sociedades médicas (ACC/AHA e outras)</t>
        </is>
      </c>
      <c r="E20" s="33" t="inlineStr">
        <is>
          <t>Clínico geral</t>
        </is>
      </c>
      <c r="F20" s="36" t="inlineStr">
        <is>
          <t>https://www.ahajournals.org/doi/10.1161/CIR.0000000000001309</t>
        </is>
      </c>
    </row>
    <row r="21" ht="36" customHeight="1">
      <c r="A21" s="33" t="n">
        <v>18</v>
      </c>
      <c r="B21" s="34" t="inlineStr">
        <is>
          <t>Estudo que sustenta a combinação estatina + ezetimiba para reduzir LDL após síndrome coronariana aguda (IMPROVE-IT)</t>
        </is>
      </c>
      <c r="C21" s="35" t="inlineStr">
        <is>
          <t>Cannon CP et al. — Ezetimibe Added to Statin Therapy after Acute Coronary Syndromes, N Engl J Med 2015</t>
        </is>
      </c>
      <c r="D21" s="34" t="inlineStr">
        <is>
          <t>Estudo clínico revisado por pares</t>
        </is>
      </c>
      <c r="E21" s="33" t="inlineStr">
        <is>
          <t>Alimentação</t>
        </is>
      </c>
      <c r="F21" s="36" t="inlineStr">
        <is>
          <t>https://www.nejm.org/doi/full/10.1056/NEJMoa1410489</t>
        </is>
      </c>
    </row>
    <row r="22" ht="36" customHeight="1">
      <c r="A22" s="33" t="n">
        <v>19</v>
      </c>
      <c r="B22" s="34" t="inlineStr">
        <is>
          <t>HbA1c ≥6,5% sugere diabetes prévio; abaixo de 5,7% (caso do paciente) é consistente com hiperglicemia de estresse, não diabetes</t>
        </is>
      </c>
      <c r="C22" s="35" t="inlineStr">
        <is>
          <t>American Diabetes Association — Standards of Care in Diabetes, edições 2024-2026</t>
        </is>
      </c>
      <c r="D22" s="34" t="inlineStr">
        <is>
          <t>Diretriz de sociedade médica (ADA)</t>
        </is>
      </c>
      <c r="E22" s="33" t="inlineStr">
        <is>
          <t>Clínico geral</t>
        </is>
      </c>
      <c r="F22" s="36" t="inlineStr">
        <is>
          <t>https://diabetesjournals.org/care/article/49/Supplement_1/S339/163925/16-Diabetes-Care-in-the-Hospital-Standards-of-Care</t>
        </is>
      </c>
    </row>
    <row r="23" ht="36" customHeight="1">
      <c r="A23" s="33" t="n">
        <v>20</v>
      </c>
      <c r="B23" s="34" t="inlineStr">
        <is>
          <t>Até 60% dos pacientes com hiperglicemia de estresse na internação desenvolvem diabetes em 6-12 meses</t>
        </is>
      </c>
      <c r="C23" s="35" t="inlineStr">
        <is>
          <t>Sociedade Brasileira de Diabetes — Hiperglicemia Hospitalar no Paciente Não-Crítico</t>
        </is>
      </c>
      <c r="D23" s="34" t="inlineStr">
        <is>
          <t>Diretriz de sociedade médica (SBD)</t>
        </is>
      </c>
      <c r="E23" s="33" t="inlineStr">
        <is>
          <t>Clínico geral</t>
        </is>
      </c>
      <c r="F23" s="36" t="inlineStr">
        <is>
          <t>https://diretriz.diabetes.org.br/hiperglicemia-hospitalar-em-paciente-nao-critico/</t>
        </is>
      </c>
    </row>
    <row r="24" ht="36" customHeight="1">
      <c r="A24" s="33" t="n">
        <v>21</v>
      </c>
      <c r="B24" s="34" t="inlineStr">
        <is>
          <t>Placa carotídea com estenose abaixo de 50% é tratada de forma conservadora (antiagregante, estatina, controle de pressão), sem indicação de cirurgia</t>
        </is>
      </c>
      <c r="C24" s="35" t="inlineStr">
        <is>
          <t>ESC/ESVS — Guidelines on Peripheral Arterial Diseases (2017/2018) e atualização sobre doença carotídea/vertebral (2023)</t>
        </is>
      </c>
      <c r="D24" s="34" t="inlineStr">
        <is>
          <t>Diretriz de sociedade médica (ESC/ESVS)</t>
        </is>
      </c>
      <c r="E24" s="33" t="inlineStr">
        <is>
          <t>Clínico geral</t>
        </is>
      </c>
      <c r="F24" s="36" t="inlineStr">
        <is>
          <t>https://academic.oup.com/eurheartj/article/39/9/763/4095038</t>
        </is>
      </c>
    </row>
    <row r="25" ht="36" customHeight="1">
      <c r="A25" s="33" t="n">
        <v>22</v>
      </c>
      <c r="B25" s="34" t="inlineStr">
        <is>
          <t>Mesma conduta conservadora para placa carotídea leve, do lado da prevenção de AVC</t>
        </is>
      </c>
      <c r="C25" s="35" t="inlineStr">
        <is>
          <t>AHA/ASA — Guideline for the Prevention of Stroke in Patients With Stroke and TIA, 2021</t>
        </is>
      </c>
      <c r="D25" s="34" t="inlineStr">
        <is>
          <t>Diretriz de sociedade médica (AHA/ASA)</t>
        </is>
      </c>
      <c r="E25" s="33" t="inlineStr">
        <is>
          <t>Clínico geral</t>
        </is>
      </c>
      <c r="F25" s="36" t="inlineStr">
        <is>
          <t>https://www.ahajournals.org/doi/10.1161/STR.0000000000000375</t>
        </is>
      </c>
    </row>
    <row r="27" ht="24" customHeight="1">
      <c r="A27" s="18"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40"/>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Frango sem pele</t>
        </is>
      </c>
      <c r="N4" t="inlineStr">
        <is>
          <t>Abacate</t>
        </is>
      </c>
      <c r="O4" t="inlineStr">
        <is>
          <t>Frango sem pele</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Ovo</t>
        </is>
      </c>
      <c r="N5" t="inlineStr">
        <is>
          <t>Pão de forma integral</t>
        </is>
      </c>
      <c r="O5" t="inlineStr">
        <is>
          <t>Ovo</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Feijão / leguminosas</t>
        </is>
      </c>
      <c r="N6" t="inlineStr">
        <is>
          <t>Pão francês integral (multigrãos)</t>
        </is>
      </c>
      <c r="O6" t="inlineStr">
        <is>
          <t>Feijão / leguminosas</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Água</t>
        </is>
      </c>
      <c r="N7" t="inlineStr">
        <is>
          <t>Granola zero açúcar</t>
        </is>
      </c>
      <c r="O7" t="inlineStr">
        <is>
          <t>Água</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Granola zero açúcar</t>
        </is>
      </c>
      <c r="M8" t="inlineStr">
        <is>
          <t>Azeite de oliva extra virgem</t>
        </is>
      </c>
      <c r="N8" t="inlineStr">
        <is>
          <t>Leite desnatado</t>
        </is>
      </c>
      <c r="O8" t="inlineStr">
        <is>
          <t>Azeite de oliva extra virgem</t>
        </is>
      </c>
      <c r="Q8" t="inlineStr">
        <is>
          <t>Gorduras e Temperos|Café da manhã</t>
        </is>
      </c>
      <c r="R8" t="inlineStr">
        <is>
          <t>Manteiga</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Ovo</t>
        </is>
      </c>
      <c r="M9" t="inlineStr">
        <is>
          <t>Ervas e temperos naturais</t>
        </is>
      </c>
      <c r="N9" t="inlineStr">
        <is>
          <t>Queijo branco frescal</t>
        </is>
      </c>
      <c r="O9" t="inlineStr">
        <is>
          <t>Ervas e temperos naturais</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Leite desnatado</t>
        </is>
      </c>
      <c r="M10" t="inlineStr">
        <is>
          <t>Vegetais e verduras em geral</t>
        </is>
      </c>
      <c r="N10" t="inlineStr">
        <is>
          <t>Queijo frescal light</t>
        </is>
      </c>
      <c r="O10" t="inlineStr">
        <is>
          <t>Vegetais e verduras em geral</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branco frescal</t>
        </is>
      </c>
      <c r="M11" t="inlineStr">
        <is>
          <t>Arroz branco</t>
        </is>
      </c>
      <c r="N11" t="inlineStr">
        <is>
          <t>Iogurte natural (desnatado, sem açúcar)</t>
        </is>
      </c>
      <c r="O11" t="inlineStr">
        <is>
          <t>Arroz branco</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Queijo frescal light</t>
        </is>
      </c>
      <c r="M12" t="inlineStr">
        <is>
          <t>Carne vermelha magra</t>
        </is>
      </c>
      <c r="N12" t="inlineStr">
        <is>
          <t>Iogurte grego zero</t>
        </is>
      </c>
      <c r="O12" t="inlineStr">
        <is>
          <t>Carne vermelha magra</t>
        </is>
      </c>
      <c r="Q12" t="inlineStr">
        <is>
          <t>Bebidas|Almoço</t>
        </is>
      </c>
      <c r="R12" t="inlineStr">
        <is>
          <t>Água</t>
        </is>
      </c>
    </row>
    <row r="13">
      <c r="A13" t="inlineStr">
        <is>
          <t>Granola zero açúcar</t>
        </is>
      </c>
      <c r="B13" t="inlineStr">
        <is>
          <t>Grãos e Cereais</t>
        </is>
      </c>
      <c r="C13" t="inlineStr">
        <is>
          <t>Liberado</t>
        </is>
      </c>
      <c r="D13" t="inlineStr">
        <is>
          <t>20 g (1 colher de sopa)</t>
        </is>
      </c>
      <c r="E13" t="inlineStr">
        <is>
          <t>1x/dia</t>
        </is>
      </c>
      <c r="F13"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c r="G13" t="inlineStr">
        <is>
          <t>X</t>
        </is>
      </c>
      <c r="H13" t="inlineStr"/>
      <c r="I13" t="inlineStr">
        <is>
          <t>X</t>
        </is>
      </c>
      <c r="J13" t="inlineStr"/>
      <c r="L13" t="inlineStr">
        <is>
          <t>Iogurte natural (desnatado, sem açúcar)</t>
        </is>
      </c>
      <c r="M13" t="inlineStr">
        <is>
          <t>Refrigerante zero</t>
        </is>
      </c>
      <c r="N13" t="inlineStr">
        <is>
          <t>Água</t>
        </is>
      </c>
      <c r="O13" t="inlineStr">
        <is>
          <t>Refrigerante zero</t>
        </is>
      </c>
      <c r="Q13" t="inlineStr">
        <is>
          <t>Doces e Sobremesas|Almoço</t>
        </is>
      </c>
      <c r="R13" t="inlineStr">
        <is>
          <t>Açúcar refinado</t>
        </is>
      </c>
    </row>
    <row r="14">
      <c r="A14" t="inlineStr">
        <is>
          <t>Peixe</t>
        </is>
      </c>
      <c r="B14" t="inlineStr">
        <is>
          <t>Proteínas</t>
        </is>
      </c>
      <c r="C14" t="inlineStr">
        <is>
          <t>Liberado</t>
        </is>
      </c>
      <c r="D14" t="inlineStr">
        <is>
          <t>150 g</t>
        </is>
      </c>
      <c r="E14" t="inlineStr">
        <is>
          <t>3x/semana</t>
        </is>
      </c>
      <c r="F14" t="inlineStr">
        <is>
          <t>Fonte de ômega-3</t>
        </is>
      </c>
      <c r="G14" t="inlineStr"/>
      <c r="H14" t="inlineStr">
        <is>
          <t>X</t>
        </is>
      </c>
      <c r="I14" t="inlineStr"/>
      <c r="J14" t="inlineStr">
        <is>
          <t>X</t>
        </is>
      </c>
      <c r="L14" t="inlineStr">
        <is>
          <t>Iogurte grego zero</t>
        </is>
      </c>
      <c r="M14" t="inlineStr">
        <is>
          <t>Sal</t>
        </is>
      </c>
      <c r="N14" t="inlineStr">
        <is>
          <t>Café sem açúcar</t>
        </is>
      </c>
      <c r="O14" t="inlineStr">
        <is>
          <t>Sal</t>
        </is>
      </c>
      <c r="Q14" t="inlineStr">
        <is>
          <t>Gorduras e Temperos|Almoço</t>
        </is>
      </c>
      <c r="R14" t="inlineStr">
        <is>
          <t>Azeite de oliva extra virgem</t>
        </is>
      </c>
    </row>
    <row r="15">
      <c r="A15" t="inlineStr">
        <is>
          <t>Frango sem pele</t>
        </is>
      </c>
      <c r="B15" t="inlineStr">
        <is>
          <t>Proteínas</t>
        </is>
      </c>
      <c r="C15" t="inlineStr">
        <is>
          <t>Liberado</t>
        </is>
      </c>
      <c r="D15" t="inlineStr">
        <is>
          <t>150 g</t>
        </is>
      </c>
      <c r="E15" t="inlineStr">
        <is>
          <t>quase todo dia</t>
        </is>
      </c>
      <c r="F15" t="inlineStr"/>
      <c r="G15" t="inlineStr"/>
      <c r="H15" t="inlineStr">
        <is>
          <t>X</t>
        </is>
      </c>
      <c r="I15" t="inlineStr"/>
      <c r="J15" t="inlineStr">
        <is>
          <t>X</t>
        </is>
      </c>
      <c r="L15" t="inlineStr">
        <is>
          <t>Água</t>
        </is>
      </c>
      <c r="M15" t="inlineStr">
        <is>
          <t>Bebida alcoólica</t>
        </is>
      </c>
      <c r="N15" t="inlineStr">
        <is>
          <t>Vegetais e verduras em geral</t>
        </is>
      </c>
      <c r="O15" t="inlineStr">
        <is>
          <t>Bebida alcoólica</t>
        </is>
      </c>
      <c r="Q15" t="inlineStr">
        <is>
          <t>Vegetais e Verduras|Almoço</t>
        </is>
      </c>
      <c r="R15" t="inlineStr">
        <is>
          <t>Vegetais e verduras em geral</t>
        </is>
      </c>
    </row>
    <row r="16">
      <c r="A16" t="inlineStr">
        <is>
          <t>Carne vermelha magra</t>
        </is>
      </c>
      <c r="B16" t="inlineStr">
        <is>
          <t>Proteínas</t>
        </is>
      </c>
      <c r="C16" t="inlineStr">
        <is>
          <t>Moderar</t>
        </is>
      </c>
      <c r="D16" t="inlineStr">
        <is>
          <t>150 g</t>
        </is>
      </c>
      <c r="E16" t="inlineStr">
        <is>
          <t>1x/semana</t>
        </is>
      </c>
      <c r="F16" t="inlineStr">
        <is>
          <t>Preferir cortes magros</t>
        </is>
      </c>
      <c r="G16" t="inlineStr"/>
      <c r="H16" t="inlineStr">
        <is>
          <t>X</t>
        </is>
      </c>
      <c r="I16" t="inlineStr"/>
      <c r="J16" t="inlineStr">
        <is>
          <t>X</t>
        </is>
      </c>
      <c r="L16" t="inlineStr">
        <is>
          <t>Café sem açúcar</t>
        </is>
      </c>
      <c r="M16" t="inlineStr">
        <is>
          <t>Açúcar refinado</t>
        </is>
      </c>
      <c r="N16" t="inlineStr">
        <is>
          <t>Uva</t>
        </is>
      </c>
      <c r="O16" t="inlineStr">
        <is>
          <t>Açúcar refinado</t>
        </is>
      </c>
      <c r="Q16" t="inlineStr">
        <is>
          <t>Frutas|Lanche</t>
        </is>
      </c>
      <c r="R16" t="inlineStr">
        <is>
          <t>Maçã fuji (com casca)</t>
        </is>
      </c>
    </row>
    <row r="17">
      <c r="A17" t="inlineStr">
        <is>
          <t>Ovo</t>
        </is>
      </c>
      <c r="B17" t="inlineStr">
        <is>
          <t>Proteínas</t>
        </is>
      </c>
      <c r="C17" t="inlineStr">
        <is>
          <t>Liberado</t>
        </is>
      </c>
      <c r="D17" t="inlineStr">
        <is>
          <t>1 unidade</t>
        </is>
      </c>
      <c r="E17" t="inlineStr">
        <is>
          <t>até 5x/semana</t>
        </is>
      </c>
      <c r="F17" t="inlineStr"/>
      <c r="G17" t="inlineStr">
        <is>
          <t>X</t>
        </is>
      </c>
      <c r="H17" t="inlineStr">
        <is>
          <t>X</t>
        </is>
      </c>
      <c r="I17" t="inlineStr"/>
      <c r="J17" t="inlineStr">
        <is>
          <t>X</t>
        </is>
      </c>
      <c r="L17" t="inlineStr">
        <is>
          <t>Vegetais e verduras em geral</t>
        </is>
      </c>
      <c r="M17" t="inlineStr">
        <is>
          <t>Sal light / substituto de sal (cloreto de potássio)</t>
        </is>
      </c>
      <c r="N17" t="inlineStr">
        <is>
          <t>Manga</t>
        </is>
      </c>
      <c r="O17" t="inlineStr">
        <is>
          <t>Sal light / substituto de sal (cloreto de potássio)</t>
        </is>
      </c>
      <c r="Q17" t="inlineStr">
        <is>
          <t>Grãos e Cereais|Lanche</t>
        </is>
      </c>
      <c r="R17" t="inlineStr">
        <is>
          <t>Pão de forma integral</t>
        </is>
      </c>
    </row>
    <row r="18">
      <c r="A18" t="inlineStr">
        <is>
          <t>Feijão / leguminosas</t>
        </is>
      </c>
      <c r="B18" t="inlineStr">
        <is>
          <t>Proteínas</t>
        </is>
      </c>
      <c r="C18" t="inlineStr">
        <is>
          <t>Liberado</t>
        </is>
      </c>
      <c r="D18" t="inlineStr">
        <is>
          <t>1 concha</t>
        </is>
      </c>
      <c r="E18" t="inlineStr">
        <is>
          <t>1x/dia</t>
        </is>
      </c>
      <c r="F18" t="inlineStr"/>
      <c r="G18" t="inlineStr"/>
      <c r="H18" t="inlineStr">
        <is>
          <t>X</t>
        </is>
      </c>
      <c r="I18" t="inlineStr"/>
      <c r="J18" t="inlineStr">
        <is>
          <t>X</t>
        </is>
      </c>
      <c r="L18" t="inlineStr">
        <is>
          <t>Uva</t>
        </is>
      </c>
      <c r="N18" t="inlineStr">
        <is>
          <t>Mussarela</t>
        </is>
      </c>
      <c r="Q18" t="inlineStr">
        <is>
          <t>Laticínios|Lanche</t>
        </is>
      </c>
      <c r="R18" t="inlineStr">
        <is>
          <t>Leite desnatado</t>
        </is>
      </c>
    </row>
    <row r="19">
      <c r="A19" t="inlineStr">
        <is>
          <t>Leite desnatado</t>
        </is>
      </c>
      <c r="B19" t="inlineStr">
        <is>
          <t>Laticínios</t>
        </is>
      </c>
      <c r="C19" t="inlineStr">
        <is>
          <t>Liberado</t>
        </is>
      </c>
      <c r="D19" t="inlineStr">
        <is>
          <t>200 ml</t>
        </is>
      </c>
      <c r="E19" t="inlineStr">
        <is>
          <t>1x/dia</t>
        </is>
      </c>
      <c r="F19" t="inlineStr"/>
      <c r="G19" t="inlineStr">
        <is>
          <t>X</t>
        </is>
      </c>
      <c r="H19" t="inlineStr"/>
      <c r="I19" t="inlineStr">
        <is>
          <t>X</t>
        </is>
      </c>
      <c r="J19" t="inlineStr"/>
      <c r="L19" t="inlineStr">
        <is>
          <t>Manga</t>
        </is>
      </c>
      <c r="N19" t="inlineStr">
        <is>
          <t>Requeijão</t>
        </is>
      </c>
      <c r="Q19" t="inlineStr">
        <is>
          <t>Bebidas|Lanche</t>
        </is>
      </c>
      <c r="R19" t="inlineStr">
        <is>
          <t>Água</t>
        </is>
      </c>
    </row>
    <row r="20">
      <c r="A20" t="inlineStr">
        <is>
          <t>Queijo branco frescal</t>
        </is>
      </c>
      <c r="B20" t="inlineStr">
        <is>
          <t>Laticínios</t>
        </is>
      </c>
      <c r="C20" t="inlineStr">
        <is>
          <t>Liberado</t>
        </is>
      </c>
      <c r="D20" t="inlineStr">
        <is>
          <t>30 g</t>
        </is>
      </c>
      <c r="E20" t="inlineStr">
        <is>
          <t>3x/semana</t>
        </is>
      </c>
      <c r="F20" t="inlineStr">
        <is>
          <t>Tipo fresco (ex.: Minas frescal), sem cura/salga pesada — bem menos sódio e gordura que queijos curados. Sugestão gerada por IA — confirmar com nutricionista/cardiologista.</t>
        </is>
      </c>
      <c r="G20" t="inlineStr">
        <is>
          <t>X</t>
        </is>
      </c>
      <c r="H20" t="inlineStr"/>
      <c r="I20" t="inlineStr">
        <is>
          <t>X</t>
        </is>
      </c>
      <c r="J20" t="inlineStr"/>
      <c r="L20" t="inlineStr">
        <is>
          <t>Mussarela</t>
        </is>
      </c>
      <c r="N20" t="inlineStr">
        <is>
          <t>Refrigerante zero</t>
        </is>
      </c>
      <c r="Q20" t="inlineStr">
        <is>
          <t>Doces e Sobremesas|Lanche</t>
        </is>
      </c>
      <c r="R20" t="inlineStr">
        <is>
          <t>Açúcar refinado</t>
        </is>
      </c>
    </row>
    <row r="21">
      <c r="A21" t="inlineStr">
        <is>
          <t>Queijo frescal light</t>
        </is>
      </c>
      <c r="B21" t="inlineStr">
        <is>
          <t>Laticínios</t>
        </is>
      </c>
      <c r="C21" t="inlineStr">
        <is>
          <t>Liberado</t>
        </is>
      </c>
      <c r="D21" t="inlineStr">
        <is>
          <t>30 g (1 fatia)</t>
        </is>
      </c>
      <c r="E21" t="inlineStr">
        <is>
          <t>3x/semana</t>
        </is>
      </c>
      <c r="F21" t="inlineStr">
        <is>
          <t>Rótulo real: 41 kcal e 105 mg de sódio por porção (bem abaixo de queijos comuns), 1,5 g de gordura saturada, sem açúcar adicionado. Contém lactose; sem glúten; pode conter soja.</t>
        </is>
      </c>
      <c r="G21" t="inlineStr">
        <is>
          <t>X</t>
        </is>
      </c>
      <c r="H21" t="inlineStr"/>
      <c r="I21" t="inlineStr">
        <is>
          <t>X</t>
        </is>
      </c>
      <c r="J21" t="inlineStr"/>
      <c r="L21" t="inlineStr">
        <is>
          <t>Requeijão</t>
        </is>
      </c>
      <c r="N21" t="inlineStr">
        <is>
          <t>Suco natural sem açúcar</t>
        </is>
      </c>
      <c r="Q21" t="inlineStr">
        <is>
          <t>Vegetais e Verduras|Lanche</t>
        </is>
      </c>
      <c r="R21" t="inlineStr">
        <is>
          <t>Vegetais e verduras em geral</t>
        </is>
      </c>
    </row>
    <row r="22">
      <c r="A22" t="inlineStr">
        <is>
          <t>Mussarela</t>
        </is>
      </c>
      <c r="B22" t="inlineStr">
        <is>
          <t>Laticínios</t>
        </is>
      </c>
      <c r="C22" t="inlineStr">
        <is>
          <t>Moderar</t>
        </is>
      </c>
      <c r="D22" t="inlineStr">
        <is>
          <t>30 g</t>
        </is>
      </c>
      <c r="E22" t="inlineStr">
        <is>
          <t>2x/semana</t>
        </is>
      </c>
      <c r="F22" t="inlineStr">
        <is>
          <t>Mais gordura saturada e sódio que o queijo branco frescal; prefira o frescal no dia a dia. Sugestão gerada por IA — confirmar com nutricionista/cardiologista.</t>
        </is>
      </c>
      <c r="G22" t="inlineStr">
        <is>
          <t>X</t>
        </is>
      </c>
      <c r="H22" t="inlineStr"/>
      <c r="I22" t="inlineStr">
        <is>
          <t>X</t>
        </is>
      </c>
      <c r="J22" t="inlineStr"/>
      <c r="L22" t="inlineStr">
        <is>
          <t>Suco natural sem açúcar</t>
        </is>
      </c>
      <c r="N22" t="inlineStr">
        <is>
          <t>Chocolate amargo (70%+)</t>
        </is>
      </c>
      <c r="Q22" t="inlineStr">
        <is>
          <t>Grãos e Cereais|Jantar</t>
        </is>
      </c>
      <c r="R22" t="inlineStr">
        <is>
          <t>Arroz integral</t>
        </is>
      </c>
    </row>
    <row r="23">
      <c r="A23" t="inlineStr">
        <is>
          <t>Iogurte natural (desnatado, sem açúcar)</t>
        </is>
      </c>
      <c r="B23" t="inlineStr">
        <is>
          <t>Laticínios</t>
        </is>
      </c>
      <c r="C23" t="inlineStr">
        <is>
          <t>Liberado</t>
        </is>
      </c>
      <c r="D23" t="inlineStr">
        <is>
          <t>1 unidade</t>
        </is>
      </c>
      <c r="E23" t="inlineStr">
        <is>
          <t>1x/dia</t>
        </is>
      </c>
      <c r="F23" t="inlineStr">
        <is>
          <t>Prefira sempre a versão sem açúcar adicionado</t>
        </is>
      </c>
      <c r="G23" t="inlineStr">
        <is>
          <t>X</t>
        </is>
      </c>
      <c r="H23" t="inlineStr"/>
      <c r="I23" t="inlineStr">
        <is>
          <t>X</t>
        </is>
      </c>
      <c r="J23" t="inlineStr"/>
      <c r="L23" t="inlineStr">
        <is>
          <t>Toranja / grapefruit</t>
        </is>
      </c>
      <c r="N23" t="inlineStr">
        <is>
          <t>Toranja / grapefruit</t>
        </is>
      </c>
      <c r="Q23" t="inlineStr">
        <is>
          <t>Proteínas|Jantar</t>
        </is>
      </c>
      <c r="R23" t="inlineStr">
        <is>
          <t>Peixe</t>
        </is>
      </c>
    </row>
    <row r="24">
      <c r="A24" t="inlineStr">
        <is>
          <t>Iogurte grego zero</t>
        </is>
      </c>
      <c r="B24" t="inlineStr">
        <is>
          <t>Laticínios</t>
        </is>
      </c>
      <c r="C24" t="inlineStr">
        <is>
          <t>Liberado</t>
        </is>
      </c>
      <c r="D24" t="inlineStr">
        <is>
          <t>90 g (1 pote)</t>
        </is>
      </c>
      <c r="E24" t="inlineStr">
        <is>
          <t>1x/dia</t>
        </is>
      </c>
      <c r="F24" t="inlineStr">
        <is>
          <t>Rótulo real: 50 kcal, 6,8 g de proteína (bem mais que iogurte comum), 0,2 g de gordura, 51 mg de sódio, zero adição de açúcar/gordura, sem lactose. Contém edulcorantes (sucralose e ciclamato).</t>
        </is>
      </c>
      <c r="G24" t="inlineStr">
        <is>
          <t>X</t>
        </is>
      </c>
      <c r="H24" t="inlineStr"/>
      <c r="I24" t="inlineStr">
        <is>
          <t>X</t>
        </is>
      </c>
      <c r="J24" t="inlineStr"/>
      <c r="L24" t="inlineStr">
        <is>
          <t>Suco de toranja / grapefruit</t>
        </is>
      </c>
      <c r="N24" t="inlineStr">
        <is>
          <t>Suco de toranja / grapefruit</t>
        </is>
      </c>
      <c r="Q24" t="inlineStr">
        <is>
          <t>Bebidas|Jantar</t>
        </is>
      </c>
      <c r="R24" t="inlineStr">
        <is>
          <t>Água</t>
        </is>
      </c>
    </row>
    <row r="25">
      <c r="A25" t="inlineStr">
        <is>
          <t>Requeijão</t>
        </is>
      </c>
      <c r="B25" t="inlineStr">
        <is>
          <t>Laticínios</t>
        </is>
      </c>
      <c r="C25" t="inlineStr">
        <is>
          <t>Moderar</t>
        </is>
      </c>
      <c r="D25" t="inlineStr">
        <is>
          <t>1 colher de sopa (≈15 g)</t>
        </is>
      </c>
      <c r="E25" t="inlineStr">
        <is>
          <t>2x/semana</t>
        </is>
      </c>
      <c r="F25" t="inlineStr">
        <is>
          <t>Rico em gordura saturada e sódio; prefira a versão light. Sugestão gerada por IA — confirmar com nutricionista/cardiologista.</t>
        </is>
      </c>
      <c r="G25" t="inlineStr">
        <is>
          <t>X</t>
        </is>
      </c>
      <c r="H25" t="inlineStr"/>
      <c r="I25" t="inlineStr">
        <is>
          <t>X</t>
        </is>
      </c>
      <c r="J25" t="inlineStr"/>
      <c r="L25" t="inlineStr">
        <is>
          <t>Açúcar refinado</t>
        </is>
      </c>
      <c r="N25" t="inlineStr">
        <is>
          <t>Açúcar refinado</t>
        </is>
      </c>
      <c r="Q25" t="inlineStr">
        <is>
          <t>Doces e Sobremesas|Jantar</t>
        </is>
      </c>
      <c r="R25" t="inlineStr">
        <is>
          <t>Açúcar refinado</t>
        </is>
      </c>
    </row>
    <row r="26">
      <c r="A26" t="inlineStr">
        <is>
          <t>Água</t>
        </is>
      </c>
      <c r="B26" t="inlineStr">
        <is>
          <t>Bebidas</t>
        </is>
      </c>
      <c r="C26" t="inlineStr">
        <is>
          <t>Liberado</t>
        </is>
      </c>
      <c r="D26" t="inlineStr">
        <is>
          <t>à vontade</t>
        </is>
      </c>
      <c r="E26" t="inlineStr">
        <is>
          <t>todos os dias</t>
        </is>
      </c>
      <c r="F26" t="inlineStr"/>
      <c r="G26" t="inlineStr">
        <is>
          <t>X</t>
        </is>
      </c>
      <c r="H26" t="inlineStr">
        <is>
          <t>X</t>
        </is>
      </c>
      <c r="I26" t="inlineStr">
        <is>
          <t>X</t>
        </is>
      </c>
      <c r="J26" t="inlineStr">
        <is>
          <t>X</t>
        </is>
      </c>
      <c r="L26" t="inlineStr">
        <is>
          <t>Manteiga</t>
        </is>
      </c>
      <c r="N26" t="inlineStr">
        <is>
          <t>Doces industrializados</t>
        </is>
      </c>
      <c r="Q26" t="inlineStr">
        <is>
          <t>Gorduras e Temperos|Jantar</t>
        </is>
      </c>
      <c r="R26" t="inlineStr">
        <is>
          <t>Azeite de oliva extra virgem</t>
        </is>
      </c>
    </row>
    <row r="27">
      <c r="A27" t="inlineStr">
        <is>
          <t>Refrigerante zero</t>
        </is>
      </c>
      <c r="B27" t="inlineStr">
        <is>
          <t>Bebidas</t>
        </is>
      </c>
      <c r="C27" t="inlineStr">
        <is>
          <t>Moderar</t>
        </is>
      </c>
      <c r="D27" t="inlineStr">
        <is>
          <t>200 ml</t>
        </is>
      </c>
      <c r="E27" t="inlineStr">
        <is>
          <t>1x/dia</t>
        </is>
      </c>
      <c r="F27" t="inlineStr">
        <is>
          <t>Sugestão gerada por IA — confirmar com nutricionista/cardiologista</t>
        </is>
      </c>
      <c r="G27" t="inlineStr"/>
      <c r="H27" t="inlineStr">
        <is>
          <t>X</t>
        </is>
      </c>
      <c r="I27" t="inlineStr">
        <is>
          <t>X</t>
        </is>
      </c>
      <c r="J27" t="inlineStr">
        <is>
          <t>X</t>
        </is>
      </c>
      <c r="Q27" t="inlineStr">
        <is>
          <t>Vegetais e Verduras|Jantar</t>
        </is>
      </c>
      <c r="R27" t="inlineStr">
        <is>
          <t>Vegetais e verduras em geral</t>
        </is>
      </c>
    </row>
    <row r="28">
      <c r="A28" t="inlineStr">
        <is>
          <t>Café sem açúcar</t>
        </is>
      </c>
      <c r="B28" t="inlineStr">
        <is>
          <t>Bebidas</t>
        </is>
      </c>
      <c r="C28" t="inlineStr">
        <is>
          <t>Liberado</t>
        </is>
      </c>
      <c r="D28" t="inlineStr">
        <is>
          <t>1 xícara</t>
        </is>
      </c>
      <c r="E28" t="inlineStr">
        <is>
          <t>2x/dia</t>
        </is>
      </c>
      <c r="F28" t="inlineStr"/>
      <c r="G28" t="inlineStr">
        <is>
          <t>X</t>
        </is>
      </c>
      <c r="H28" t="inlineStr"/>
      <c r="I28" t="inlineStr">
        <is>
          <t>X</t>
        </is>
      </c>
      <c r="J28" t="inlineStr"/>
    </row>
    <row r="29">
      <c r="A29" t="inlineStr">
        <is>
          <t>Suco natural sem açúcar</t>
        </is>
      </c>
      <c r="B29" t="inlineStr">
        <is>
          <t>Bebidas</t>
        </is>
      </c>
      <c r="C29" t="inlineStr">
        <is>
          <t>Moderar</t>
        </is>
      </c>
      <c r="D29" t="inlineStr">
        <is>
          <t>200 ml</t>
        </is>
      </c>
      <c r="E29" t="inlineStr">
        <is>
          <t>3x/semana</t>
        </is>
      </c>
      <c r="F29" t="inlineStr">
        <is>
          <t>Preferir a fruta inteira, que tem mais fibra</t>
        </is>
      </c>
      <c r="G29" t="inlineStr">
        <is>
          <t>X</t>
        </is>
      </c>
      <c r="H29" t="inlineStr"/>
      <c r="I29" t="inlineStr">
        <is>
          <t>X</t>
        </is>
      </c>
      <c r="J29" t="inlineStr"/>
    </row>
    <row r="30">
      <c r="A30" t="inlineStr">
        <is>
          <t>Suco de toranja / grapefruit</t>
        </is>
      </c>
      <c r="B30" t="inlineStr">
        <is>
          <t>Bebidas</t>
        </is>
      </c>
      <c r="C30" t="inlineStr">
        <is>
          <t>Evitar</t>
        </is>
      </c>
      <c r="D30" t="inlineStr">
        <is>
          <t>-</t>
        </is>
      </c>
      <c r="E30" t="inlineStr">
        <is>
          <t>evitar</t>
        </is>
      </c>
      <c r="F30"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30" t="inlineStr">
        <is>
          <t>X</t>
        </is>
      </c>
      <c r="H30" t="inlineStr"/>
      <c r="I30" t="inlineStr">
        <is>
          <t>X</t>
        </is>
      </c>
      <c r="J30" t="inlineStr"/>
    </row>
    <row r="31">
      <c r="A31" t="inlineStr">
        <is>
          <t>Bebida alcoólica</t>
        </is>
      </c>
      <c r="B31" t="inlineStr">
        <is>
          <t>Bebidas</t>
        </is>
      </c>
      <c r="C31" t="inlineStr">
        <is>
          <t>Evitar</t>
        </is>
      </c>
      <c r="D31" t="inlineStr">
        <is>
          <t>-</t>
        </is>
      </c>
      <c r="E31" t="inlineStr">
        <is>
          <t>evitar</t>
        </is>
      </c>
      <c r="F31" t="inlineStr">
        <is>
          <t>Piora diretamente os triglicerídeos; soma-se ao risco de sangramento da Aspirina + Ticagrelor.</t>
        </is>
      </c>
      <c r="G31" t="inlineStr"/>
      <c r="H31" t="inlineStr">
        <is>
          <t>X</t>
        </is>
      </c>
      <c r="I31" t="inlineStr"/>
      <c r="J31" t="inlineStr">
        <is>
          <t>X</t>
        </is>
      </c>
    </row>
    <row r="32">
      <c r="A32" t="inlineStr">
        <is>
          <t>Açúcar refinado</t>
        </is>
      </c>
      <c r="B32" t="inlineStr">
        <is>
          <t>Doces e Sobremesas</t>
        </is>
      </c>
      <c r="C32" t="inlineStr">
        <is>
          <t>Evitar</t>
        </is>
      </c>
      <c r="D32" t="inlineStr">
        <is>
          <t>-</t>
        </is>
      </c>
      <c r="E32" t="inlineStr">
        <is>
          <t>evitar</t>
        </is>
      </c>
      <c r="F32" t="inlineStr">
        <is>
          <t>Impacto direto nos triglicerídeos</t>
        </is>
      </c>
      <c r="G32" t="inlineStr">
        <is>
          <t>X</t>
        </is>
      </c>
      <c r="H32" t="inlineStr">
        <is>
          <t>X</t>
        </is>
      </c>
      <c r="I32" t="inlineStr">
        <is>
          <t>X</t>
        </is>
      </c>
      <c r="J32" t="inlineStr">
        <is>
          <t>X</t>
        </is>
      </c>
    </row>
    <row r="33">
      <c r="A33" t="inlineStr">
        <is>
          <t>Doces industrializados</t>
        </is>
      </c>
      <c r="B33" t="inlineStr">
        <is>
          <t>Doces e Sobremesas</t>
        </is>
      </c>
      <c r="C33" t="inlineStr">
        <is>
          <t>Evitar</t>
        </is>
      </c>
      <c r="D33" t="inlineStr">
        <is>
          <t>-</t>
        </is>
      </c>
      <c r="E33" t="inlineStr">
        <is>
          <t>evitar</t>
        </is>
      </c>
      <c r="F33" t="inlineStr"/>
      <c r="G33" t="inlineStr"/>
      <c r="H33" t="inlineStr"/>
      <c r="I33" t="inlineStr">
        <is>
          <t>X</t>
        </is>
      </c>
      <c r="J33" t="inlineStr"/>
    </row>
    <row r="34">
      <c r="A34" t="inlineStr">
        <is>
          <t>Chocolate amargo (70%+)</t>
        </is>
      </c>
      <c r="B34" t="inlineStr">
        <is>
          <t>Doces e Sobremesas</t>
        </is>
      </c>
      <c r="C34" t="inlineStr">
        <is>
          <t>Moderar</t>
        </is>
      </c>
      <c r="D34" t="inlineStr">
        <is>
          <t>10 g</t>
        </is>
      </c>
      <c r="E34" t="inlineStr">
        <is>
          <t>2x/semana</t>
        </is>
      </c>
      <c r="F34" t="inlineStr">
        <is>
          <t>Sugestão gerada por IA — confirmar com nutricionista/cardiologista</t>
        </is>
      </c>
      <c r="G34" t="inlineStr"/>
      <c r="H34" t="inlineStr"/>
      <c r="I34" t="inlineStr">
        <is>
          <t>X</t>
        </is>
      </c>
      <c r="J34" t="inlineStr"/>
    </row>
    <row r="35">
      <c r="A35" t="inlineStr">
        <is>
          <t>Azeite de oliva extra virgem</t>
        </is>
      </c>
      <c r="B35" t="inlineStr">
        <is>
          <t>Gorduras e Temperos</t>
        </is>
      </c>
      <c r="C35" t="inlineStr">
        <is>
          <t>Liberado</t>
        </is>
      </c>
      <c r="D35" t="inlineStr">
        <is>
          <t>1-2 colheres de sopa</t>
        </is>
      </c>
      <c r="E35" t="inlineStr">
        <is>
          <t>1x/dia</t>
        </is>
      </c>
      <c r="F35" t="inlineStr"/>
      <c r="G35" t="inlineStr"/>
      <c r="H35" t="inlineStr">
        <is>
          <t>X</t>
        </is>
      </c>
      <c r="I35" t="inlineStr"/>
      <c r="J35" t="inlineStr">
        <is>
          <t>X</t>
        </is>
      </c>
    </row>
    <row r="36">
      <c r="A36" t="inlineStr">
        <is>
          <t>Manteiga</t>
        </is>
      </c>
      <c r="B36" t="inlineStr">
        <is>
          <t>Gorduras e Temperos</t>
        </is>
      </c>
      <c r="C36" t="inlineStr">
        <is>
          <t>Evitar</t>
        </is>
      </c>
      <c r="D36" t="inlineStr">
        <is>
          <t>-</t>
        </is>
      </c>
      <c r="E36" t="inlineStr">
        <is>
          <t>evitar</t>
        </is>
      </c>
      <c r="F36" t="inlineStr">
        <is>
          <t>Preferir azeite</t>
        </is>
      </c>
      <c r="G36" t="inlineStr">
        <is>
          <t>X</t>
        </is>
      </c>
      <c r="H36" t="inlineStr"/>
      <c r="I36" t="inlineStr"/>
      <c r="J36" t="inlineStr"/>
    </row>
    <row r="37">
      <c r="A37" t="inlineStr">
        <is>
          <t>Sal</t>
        </is>
      </c>
      <c r="B37" t="inlineStr">
        <is>
          <t>Gorduras e Temperos</t>
        </is>
      </c>
      <c r="C37" t="inlineStr">
        <is>
          <t>Moderar</t>
        </is>
      </c>
      <c r="D37" t="inlineStr">
        <is>
          <t>&lt; 5 g no total</t>
        </is>
      </c>
      <c r="E37" t="inlineStr">
        <is>
          <t>todos os dias</t>
        </is>
      </c>
      <c r="F37" t="inlineStr">
        <is>
          <t>Somar sal de cozinha + industrializados</t>
        </is>
      </c>
      <c r="G37" t="inlineStr"/>
      <c r="H37" t="inlineStr">
        <is>
          <t>X</t>
        </is>
      </c>
      <c r="I37" t="inlineStr"/>
      <c r="J37" t="inlineStr">
        <is>
          <t>X</t>
        </is>
      </c>
    </row>
    <row r="38">
      <c r="A38" t="inlineStr">
        <is>
          <t>Sal light / substituto de sal (cloreto de potássio)</t>
        </is>
      </c>
      <c r="B38" t="inlineStr">
        <is>
          <t>Gorduras e Temperos</t>
        </is>
      </c>
      <c r="C38" t="inlineStr">
        <is>
          <t>Evitar</t>
        </is>
      </c>
      <c r="D38" t="inlineStr">
        <is>
          <t>-</t>
        </is>
      </c>
      <c r="E38" t="inlineStr">
        <is>
          <t>evitar</t>
        </is>
      </c>
      <c r="F38" t="inlineStr">
        <is>
          <t>Enalapril já tende a elevar o potássio; combinado com esse produto o risco de hipercalemia aumenta, ainda mais com a função renal pendente.</t>
        </is>
      </c>
      <c r="G38" t="inlineStr"/>
      <c r="H38" t="inlineStr">
        <is>
          <t>X</t>
        </is>
      </c>
      <c r="I38" t="inlineStr"/>
      <c r="J38" t="inlineStr">
        <is>
          <t>X</t>
        </is>
      </c>
    </row>
    <row r="39">
      <c r="A39" t="inlineStr">
        <is>
          <t>Ervas e temperos naturais</t>
        </is>
      </c>
      <c r="B39" t="inlineStr">
        <is>
          <t>Gorduras e Temperos</t>
        </is>
      </c>
      <c r="C39" t="inlineStr">
        <is>
          <t>Liberado</t>
        </is>
      </c>
      <c r="D39" t="inlineStr">
        <is>
          <t>à vontade</t>
        </is>
      </c>
      <c r="E39" t="inlineStr">
        <is>
          <t>todos os dias</t>
        </is>
      </c>
      <c r="F39" t="inlineStr"/>
      <c r="G39" t="inlineStr"/>
      <c r="H39" t="inlineStr">
        <is>
          <t>X</t>
        </is>
      </c>
      <c r="I39" t="inlineStr"/>
      <c r="J39" t="inlineStr">
        <is>
          <t>X</t>
        </is>
      </c>
    </row>
    <row r="40">
      <c r="A40" t="inlineStr">
        <is>
          <t>Vegetais e verduras em geral</t>
        </is>
      </c>
      <c r="B40" t="inlineStr">
        <is>
          <t>Vegetais e Verduras</t>
        </is>
      </c>
      <c r="C40" t="inlineStr">
        <is>
          <t>Liberado</t>
        </is>
      </c>
      <c r="D40" t="inlineStr">
        <is>
          <t>à vontade</t>
        </is>
      </c>
      <c r="E40" t="inlineStr">
        <is>
          <t>todos os dias</t>
        </is>
      </c>
      <c r="F40" t="inlineStr">
        <is>
          <t>Se entrar anticoagulante na medicação, revisar consumo de verde-escuros ricos em vitamina K</t>
        </is>
      </c>
      <c r="G40" t="inlineStr">
        <is>
          <t>X</t>
        </is>
      </c>
      <c r="H40" t="inlineStr">
        <is>
          <t>X</t>
        </is>
      </c>
      <c r="I40" t="inlineStr">
        <is>
          <t>X</t>
        </is>
      </c>
      <c r="J40"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2026-09-06T23:40:41Z</dcterms:created>
  <dcterms:modified xsi:type="dcterms:W3CDTF">2026-09-06T23:40:41Z</dcterms:modified>
</cp:coreProperties>
</file>