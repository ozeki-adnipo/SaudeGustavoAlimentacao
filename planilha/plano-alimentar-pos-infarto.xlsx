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idados na Alimentação" sheetId="1" state="visible" r:id="rId1"/>
    <sheet name="Plano Geral - Restaurante" sheetId="2" state="visible" r:id="rId2"/>
    <sheet name="Alimentos e Quantidades" sheetId="3" state="visible" r:id="rId3"/>
    <sheet name="Montar Refeição" sheetId="4" state="visible" r:id="rId4"/>
    <sheet name="Fontes e Referências" sheetId="5" state="visible" r:id="rId5"/>
    <sheet name="Ref_Alimentos" sheetId="6" state="hidden" r:id="rId6"/>
  </sheets>
  <definedNames>
    <definedName name="Lista_CafeDaManha">Ref_Alimentos!$L$2:$L$101</definedName>
    <definedName name="Lista_Almoco">Ref_Alimentos!$M$2:$M$101</definedName>
    <definedName name="Lista_Lanche">Ref_Alimentos!$N$2:$N$101</definedName>
    <definedName name="Lista_Jantar">Ref_Alimentos!$O$2:$O$101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sz val="10.5"/>
    </font>
    <font>
      <name val="Arial"/>
      <sz val="10.5"/>
    </font>
    <font>
      <name val="Arial"/>
      <b val="1"/>
      <sz val="9"/>
    </font>
    <font>
      <name val="Arial"/>
      <b val="1"/>
      <color rgb="00FFFFFF"/>
      <sz val="10.5"/>
    </font>
    <font>
      <name val="Arial"/>
      <i val="1"/>
      <sz val="9.5"/>
    </font>
    <font>
      <name val="Arial"/>
      <b val="1"/>
      <color rgb="00000000"/>
      <sz val="9"/>
    </font>
    <font>
      <name val="Arial"/>
      <b val="1"/>
      <color rgb="00C0392B"/>
      <sz val="9"/>
    </font>
    <font>
      <name val="Arial"/>
      <b val="1"/>
      <color rgb="00FFFFFF"/>
      <sz val="9.5"/>
    </font>
    <font>
      <name val="Arial"/>
      <i val="1"/>
      <color rgb="00666666"/>
      <sz val="10"/>
    </font>
    <font>
      <name val="Arial"/>
      <i val="1"/>
      <color rgb="001F4E5F"/>
      <sz val="10"/>
    </font>
    <font>
      <name val="Arial"/>
      <i val="1"/>
      <sz val="9"/>
    </font>
    <font>
      <name val="Arial"/>
      <sz val="10"/>
    </font>
    <font>
      <name val="Arial"/>
      <color rgb="001155CC"/>
      <sz val="10"/>
      <u val="single"/>
    </font>
    <font>
      <name val="Arial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6E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6B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 indent="1"/>
    </xf>
    <xf numFmtId="0" fontId="15" fillId="0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6B6"/>
        </patternFill>
      </fill>
    </dxf>
    <dxf>
      <font>
        <name val="Arial"/>
        <b val="1"/>
        <color rgb="00C0392B"/>
        <sz val="10.5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pubmed.ncbi.nlm.nih.gov/23126367/" TargetMode="External" Id="rId1" /><Relationship Type="http://schemas.openxmlformats.org/officeDocument/2006/relationships/hyperlink" Target="https://www.azmed.com.br/content/dam/multibrand/br/pt/azmed-2022/home/bulas-profissionais/bulas/Brilinta_Bula_Profissional.pdf" TargetMode="External" Id="rId2" /><Relationship Type="http://schemas.openxmlformats.org/officeDocument/2006/relationships/hyperlink" Target="https://www.ncbi.nlm.nih.gov/books/NBK557708/" TargetMode="External" Id="rId3" /><Relationship Type="http://schemas.openxmlformats.org/officeDocument/2006/relationships/hyperlink" Target="https://pubmed.ncbi.nlm.nih.gov/10566713/" TargetMode="External" Id="rId4" /><Relationship Type="http://schemas.openxmlformats.org/officeDocument/2006/relationships/hyperlink" Target="https://www.nccih.nih.gov/health/red-yeast-rice" TargetMode="External" Id="rId5" /><Relationship Type="http://schemas.openxmlformats.org/officeDocument/2006/relationships/hyperlink" Target="https://pmc.ncbi.nlm.nih.gov/articles/PMC3589309/" TargetMode="External" Id="rId6" /><Relationship Type="http://schemas.openxmlformats.org/officeDocument/2006/relationships/hyperlink" Target="https://www.acc.org/latest-in-cardiology/ten-points-to-remember/2016/03/25/14/56/2016-acc-aha-guideline-focused-update-on-dapt" TargetMode="External" Id="rId7" /><Relationship Type="http://schemas.openxmlformats.org/officeDocument/2006/relationships/hyperlink" Target="https://www.scielo.br/j/abc/a/tRJrwGzKX6C4GvMqdJpZcGk/?lang=pt" TargetMode="External" Id="rId8" /><Relationship Type="http://schemas.openxmlformats.org/officeDocument/2006/relationships/hyperlink" Target="https://www.heart.org/en/healthy-living/healthy-eating/eat-smart/nutrition-basics/aha-diet-and-lifestyle-recommendations" TargetMode="External" Id="rId9" /><Relationship Type="http://schemas.openxmlformats.org/officeDocument/2006/relationships/hyperlink" Target="https://www.scielo.br/j/abc/a/X94tMKwdnBjkCzVKpXwBqmD/?lang=pt" TargetMode="External" Id="rId10" /><Relationship Type="http://schemas.openxmlformats.org/officeDocument/2006/relationships/hyperlink" Target="https://kdigo.org/wp-content/uploads/2016/10/KDIGO-2012-AKI-Guideline-English.pdf" TargetMode="External" Id="rId11" /><Relationship Type="http://schemas.openxmlformats.org/officeDocument/2006/relationships/hyperlink" Target="https://kdigo.org/wp-content/uploads/2017/02/KDIGO_2012_CKD_GL.pdf" TargetMode="External" Id="rId12" /><Relationship Type="http://schemas.openxmlformats.org/officeDocument/2006/relationships/hyperlink" Target="https://www.esur.org/wp-content/uploads/2022/03/ESUR-Guidelines-10_0-Final-Version.pdf" TargetMode="External" Id="rId13" /><Relationship Type="http://schemas.openxmlformats.org/officeDocument/2006/relationships/hyperlink" Target="https://www.ahajournals.org/doi/10.1161/CIR.0000000000000617" TargetMode="External" Id="rId14" /><Relationship Type="http://schemas.openxmlformats.org/officeDocument/2006/relationships/hyperlink" Target="https://academic.oup.com/eurheartj/article/42/36/3599/6358045" TargetMode="External" Id="rId15" /><Relationship Type="http://schemas.openxmlformats.org/officeDocument/2006/relationships/hyperlink" Target="https://academic.oup.com/eurheartj/article/45/14/1193/7516285" TargetMode="External" Id="rId16" /><Relationship Type="http://schemas.openxmlformats.org/officeDocument/2006/relationships/hyperlink" Target="https://www.ahajournals.org/doi/10.1161/CIR.0000000000001309" TargetMode="External" Id="rId17" /><Relationship Type="http://schemas.openxmlformats.org/officeDocument/2006/relationships/hyperlink" Target="https://www.nejm.org/doi/full/10.1056/NEJMoa1410489" TargetMode="External" Id="rId18" /><Relationship Type="http://schemas.openxmlformats.org/officeDocument/2006/relationships/hyperlink" Target="https://diabetesjournals.org/care/article/49/Supplement_1/S339/163925/16-Diabetes-Care-in-the-Hospital-Standards-of-Care" TargetMode="External" Id="rId19" /><Relationship Type="http://schemas.openxmlformats.org/officeDocument/2006/relationships/hyperlink" Target="https://diretriz.diabetes.org.br/hiperglicemia-hospitalar-em-paciente-nao-critico/" TargetMode="External" Id="rId20" /><Relationship Type="http://schemas.openxmlformats.org/officeDocument/2006/relationships/hyperlink" Target="https://academic.oup.com/eurheartj/article/39/9/763/4095038" TargetMode="External" Id="rId21" /><Relationship Type="http://schemas.openxmlformats.org/officeDocument/2006/relationships/hyperlink" Target="https://www.ahajournals.org/doi/10.1161/STR.0000000000000375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Cuidados na Alimentação — pós-infarto (25/08/2026)</t>
        </is>
      </c>
    </row>
    <row r="2">
      <c r="A2" s="2" t="inlineStr">
        <is>
          <t>Seção</t>
        </is>
      </c>
      <c r="B2" s="2" t="inlineStr">
        <is>
          <t>Orientação</t>
        </is>
      </c>
    </row>
    <row r="3" ht="46" customHeight="1">
      <c r="A3" s="3" t="inlineStr">
        <is>
          <t>Perfil de risco atual</t>
        </is>
      </c>
      <c r="B3" s="4" t="inlineStr">
        <is>
          <t>Homem, 48 anos, IAM em 25/08/2026 (3 procedimentos, FE preservada 72% com hipocinesia segmentar leve). Dislipidemia mista: LDL 138 (meta pós-IAM &lt;50), HDL 34 (baixo), triglicerídeos 343 (muito alto), colesterol total 222 (alto). Placa carotídea leve (1–15%) já mostra aterosclerose além do evento agudo.</t>
        </is>
      </c>
    </row>
    <row r="4" ht="46" customHeight="1">
      <c r="A4" s="3" t="inlineStr">
        <is>
          <t>Reduzir</t>
        </is>
      </c>
      <c r="B4" s="4" t="inlineStr">
        <is>
          <t>Gordura saturada e gordura trans (frituras, embutidos, carnes gordas, manteiga, produtos industrializados com 'gordura vegetal hidrogenada').</t>
        </is>
      </c>
    </row>
    <row r="5" ht="46" customHeight="1">
      <c r="A5" s="3" t="inlineStr">
        <is>
          <t>Reduzir</t>
        </is>
      </c>
      <c r="B5" s="4" t="inlineStr">
        <is>
          <t>Açúcar e carboidrato refinado — prioridade alta por causa dos triglicerídeos muito altos (343 mg/dL): refrigerante comum, doces, pão/arroz/massa branca em excesso.</t>
        </is>
      </c>
    </row>
    <row r="6" ht="46" customHeight="1">
      <c r="A6" s="3" t="inlineStr">
        <is>
          <t>Reduzir</t>
        </is>
      </c>
      <c r="B6" s="4" t="inlineStr">
        <is>
          <t>Sódio — evitar sal em excesso, temperos prontos, embutidos, enlatados e fast-food; ler rótulo (mg de sódio por porção).</t>
        </is>
      </c>
    </row>
    <row r="7" ht="46" customHeight="1">
      <c r="A7" s="3" t="inlineStr">
        <is>
          <t>Reduzir</t>
        </is>
      </c>
      <c r="B7" s="4" t="inlineStr">
        <is>
          <t>Álcool — evitar ou reduzir ao mínimo; álcool piora diretamente os triglicerídeos.</t>
        </is>
      </c>
    </row>
    <row r="8" ht="46" customHeight="1">
      <c r="A8" s="3" t="inlineStr">
        <is>
          <t>Priorizar</t>
        </is>
      </c>
      <c r="B8" s="4" t="inlineStr">
        <is>
          <t>Fibras: grãos integrais, leguminosas (feijão, lentilha, grão-de-bico), vegetais e frutas variadas.</t>
        </is>
      </c>
    </row>
    <row r="9" ht="46" customHeight="1">
      <c r="A9" s="3" t="inlineStr">
        <is>
          <t>Priorizar</t>
        </is>
      </c>
      <c r="B9" s="4" t="inlineStr">
        <is>
          <t>Ômega-3: peixes (preferir 2-3x/semana), azeite de oliva extra virgem, oleaginosas em pequena quantidade (castanhas, nozes).</t>
        </is>
      </c>
    </row>
    <row r="10" ht="46" customHeight="1">
      <c r="A10" s="3" t="inlineStr">
        <is>
          <t>Priorizar</t>
        </is>
      </c>
      <c r="B10" s="4" t="inlineStr">
        <is>
          <t>Proteínas magras: frango sem pele, peixe, ovos, leguminosas; carnes vermelhas com moderação.</t>
        </is>
      </c>
    </row>
    <row r="11" ht="46" customHeight="1">
      <c r="A11" s="3" t="inlineStr">
        <is>
          <t>Atenção especial — triglicerídeos</t>
        </is>
      </c>
      <c r="B11" s="4" t="inlineStr">
        <is>
          <t>343 mg/dL é muito alto: o maior impacto individual costuma vir de cortar açúcar e álcool, não só gordura. Evitar refrigerante comum, suco industrializado, doces e bebida alcoólica quase por completo até reavaliação médica.</t>
        </is>
      </c>
    </row>
    <row r="12" ht="46" customHeight="1">
      <c r="A12" s="3" t="inlineStr">
        <is>
          <t>Atenção especial — LDL</t>
        </is>
      </c>
      <c r="B12" s="4" t="inlineStr">
        <is>
          <t>Meta pós-IAM é bem mais rígida que a da população geral, mas varia por diretriz: &lt;50 mg/dL (diretriz brasileira SBC 2017, usada pelo laboratório), &lt;40 mg/dL (categoria 'risco extremo' da diretriz SBC 2025, se preencher critérios adicionais) ou &lt;55 mg/dL (diretrizes ESC/EAS e ACC/AHA para risco muito alto) — pergunte ao médico qual meta ele está usando. A combinação estatina (Rosucor) + Ezetimiba já prescrita é sustentada pelo estudo IMPROVE-IT (LDL médio de 53,7 mg/dL com a combinação, vs. 69,5 mg/dL só com estatina, e menos eventos cardiovasculares). Fontes na aba 'Fontes e Referências'.</t>
        </is>
      </c>
    </row>
    <row r="13" ht="46" customHeight="1">
      <c r="A13" s="5" t="inlineStr">
        <is>
          <t>Aviso pendente — função renal</t>
        </is>
      </c>
      <c r="B13" s="4" t="inlineStr">
        <is>
          <t>Há suspeita ainda não confirmada de proteinúria (o exame certo a pedir é a relação albumina/creatinina urinária, ACR/RAC, padrão KDIGO) e duas elevações de creatinina/TFG durante a internação (TFG caiu para 57 na véspera da alta) — a última, aplicando o critério objetivo da KDIGO, já preenche Lesão Renal Aguda estágio 1 (não é diagnóstico médico, só a fórmula aplicada aos números). O padrão temporal é compatível com nefropatia por contraste dos 3 cateterismos (ESUR: pico em 3-5 dias, resolução em 7-14 dias). Enquanto não houver confirmação médica de que isso se resolveu, o plano NÃO aplica restrição renal (sódio/potássio/proteína) — apenas o cuidado cardiovascular abaixo. Revisar esta aba assim que o médico confirmar ou descartar o problema renal.</t>
        </is>
      </c>
    </row>
    <row r="14" ht="46" customHeight="1">
      <c r="A14" s="5" t="inlineStr">
        <is>
          <t>Medicações em uso (receita 03/09/2026)</t>
        </is>
      </c>
      <c r="B14" s="4" t="inlineStr">
        <is>
          <t>Aspirina Prevent 100mg (1x/dia, almoço) e Ticagrelor 90mg (12/12h, por 1 ano) — antiagregantes plaquetários; Rosucor (rosuvastatina) 20mg, 2 comprimidos 1x/dia, e Ezetimiba 10mg 1x/dia — colesterol; Maleato de Enalapril 5mg 12/12h — coração/pressão (médico alertou para cuidado com pressão baixa). Todas de uso contínuo — não interromper sem falar com o cardiologista, em especial a dupla Aspirina + Ticagrelor (risco de trombose no stent).</t>
        </is>
      </c>
    </row>
    <row r="15" ht="46" customHeight="1">
      <c r="A15" s="5" t="inlineStr">
        <is>
          <t>Interação medicamentosa — Ticagrelor</t>
        </is>
      </c>
      <c r="B15" s="4" t="inlineStr">
        <is>
          <t>Toranja/grapefruit (fruta ou suco) inibe uma enzima do fígado (CYP3A4) que ajuda a metabolizar o Ticagrelor. Um estudo publicado mostrou quase o dobro do nível do remédio no sangue com suco em grande quantidade; a própria bula brasileira do Brilinta cita esse estudo e diz que não é esperado ser 'clinicamente relevante para a maioria dos pacientes' — mas recomenda evitar. Como você toma 2 antiagregantes juntos, a orientação mais segura é evitar toranja/grapefruit. Fontes: aba 'Fontes e Referências', linhas 1-2.</t>
        </is>
      </c>
    </row>
    <row r="16" ht="46" customHeight="1">
      <c r="A16" s="5" t="inlineStr">
        <is>
          <t>Interação medicamentosa — Enalapril</t>
        </is>
      </c>
      <c r="B16" s="4" t="inlineStr">
        <is>
          <t>Enalapril pode elevar o potássio do sangue (reduz a aldosterona). Evitar sal light/substitutos de sal (ricos em cloreto de potássio) e suplementos de potássio sem orientação médica — risco bem documentado de hipercalemia. O potássio (4,9) e a creatinina (1,50) da alta ficam dentro da faixa considerada tolerável por uma diretriz de insuficiência cardíaca (ESC 2021) para manter o Enalapril — informação tranquilizadora, mas essa mesma diretriz recomenda reexame de potássio/creatinina em 1-2 semanas, e reforça evitar sal light por precaução até lá. Fontes: aba 'Fontes e Referências', linha 3 (Enalapril) e 15 (limiares ESC).</t>
        </is>
      </c>
    </row>
    <row r="17" ht="46" customHeight="1">
      <c r="A17" s="5" t="inlineStr">
        <is>
          <t>Interação medicamentosa — Aspirina + Ticagrelor</t>
        </is>
      </c>
      <c r="B17" s="4" t="inlineStr">
        <is>
          <t>A dupla antiagregação (esquema padrão por 1 ano pós-stent, conforme diretriz ACC/AHA) já aumenta o risco de sangramento; estudos mostram que álcool combinado com Aspirina aumenta especificamente o sangramento gastrointestinal alto — reforça a orientação de evitar bebida alcoólica. Fontes: aba 'Fontes e Referências', linhas 4 e 7.</t>
        </is>
      </c>
    </row>
    <row r="18" ht="46" customHeight="1">
      <c r="A18" s="5" t="inlineStr">
        <is>
          <t>Interação medicamentosa — Rosucor (estatina)</t>
        </is>
      </c>
      <c r="B18" s="4" t="inlineStr">
        <is>
          <t>Evitar suplementos de 'arroz de levedura vermelha' (red yeast rice): o NIH americano alerta que contêm uma substância quimicamente idêntica a uma estatina e podem somar efeitos colaterais/toxicidade com a Rosucor. Já a toranja/grapefruit NÃO tem interação relevante conhecida com a Rosucor especificamente (ela usa outra via metabólica, CYP2C9) — o motivo de evitar toranja neste plano é o Ticagrelor, não a Rosucor. Fontes: aba 'Fontes e Referências', linhas 5-6.</t>
        </is>
      </c>
    </row>
    <row r="19" ht="46" customHeight="1">
      <c r="A19" s="3" t="inlineStr">
        <is>
          <t>Reabilitação cardíaca</t>
        </is>
      </c>
      <c r="B19" s="4" t="inlineStr">
        <is>
          <t>A diretriz mais recente de síndrome coronariana aguda (ACC/AHA/ACEP/NAEMSP/SCAI 2025) recomenda encaminhamento para reabilitação cardíaca com o grau mais forte de recomendação (Classe 1), idealmente ainda na alta — reduz mortalidade, reinfarto e reinternações. Não é sobre alimentação diretamente, mas costuma incluir acompanhamento nutricional; vale perguntar ao médico se já foi encaminhado. Fonte: aba 'Fontes e Referências', linha 17.</t>
        </is>
      </c>
    </row>
    <row r="20" ht="46" customHeight="1">
      <c r="A20" s="3" t="inlineStr">
        <is>
          <t>Leitura de rótulos</t>
        </is>
      </c>
      <c r="B20" s="4" t="inlineStr">
        <is>
          <t>Ao comprar um produto industrializado, olhar sempre: sódio por porção, açúcares totais/adicionados, e a lista de ingredientes procurando 'gordura hidrogenada' ou 'gordura trans'. Prefira produtos com menos ingredientes e sem açúcar adicionado.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Plano Geral — o que comer, inclusive fora de casa</t>
        </is>
      </c>
    </row>
    <row r="2">
      <c r="A2" s="2" t="inlineStr">
        <is>
          <t>Seção</t>
        </is>
      </c>
      <c r="B2" s="2" t="inlineStr">
        <is>
          <t>Conteúdo</t>
        </is>
      </c>
    </row>
    <row r="3" ht="60" customHeight="1">
      <c r="A3" s="3" t="inlineStr">
        <is>
          <t>Modelo de prato</t>
        </is>
      </c>
      <c r="B3" s="4" t="inlineStr">
        <is>
          <t>1/2 do prato: vegetais e salada (à vontade, tempero simples com azeite/limão). 1/4 do prato: proteína magra grelhada/assada (peixe, frango sem pele, ovo, leguminosas). 1/4 do prato: carboidrato integral (arroz integral, batata-doce, mandioca, pão integral) em porção moderada.</t>
        </is>
      </c>
    </row>
    <row r="4" ht="60" customHeight="1">
      <c r="A4" s="3" t="inlineStr">
        <is>
          <t>O que pedir</t>
        </is>
      </c>
      <c r="B4" s="4" t="inlineStr">
        <is>
          <t>Grelhado, assado ou cozido — sem manteiga extra ou molho cremoso. Peça o molho à parte para controlar a quantidade. Troque frituras por grelhados/assados. Troque refrigerante comum por água ou refrigerante zero. Sobremesa só ocasional e em porção pequena (dividir com alguém, se possível).</t>
        </is>
      </c>
    </row>
    <row r="5" ht="60" customHeight="1">
      <c r="A5" s="3" t="inlineStr">
        <is>
          <t>O que evitar</t>
        </is>
      </c>
      <c r="B5" s="4" t="inlineStr">
        <is>
          <t>Frituras (empanados, milanesas), molhos à base de creme de leite/manteiga, embutidos (bacon, linguiça), pratos 'à parmegiana' ou gratinados com muito queijo, refrigerante comum, sobremesas grandes ou muito açucaradas.</t>
        </is>
      </c>
    </row>
    <row r="6" ht="60" customHeight="1">
      <c r="A6" s="3" t="inlineStr">
        <is>
          <t>Perguntas úteis ao garçom</t>
        </is>
      </c>
      <c r="B6" s="4" t="inlineStr">
        <is>
          <t>"Esse prato pode vir grelhado, sem manteiga extra?" · "O molho leva creme de leite ou manteiga?" · "Dá para trocar a guarnição (fritas/farofa) por salada ou legumes?" · "Tem opção de refrigerante zero ou água com gás?"</t>
        </is>
      </c>
    </row>
    <row r="7" ht="60" customHeight="1">
      <c r="A7" s="3" t="inlineStr">
        <is>
          <t>Exemplos de pratos que funcionam</t>
        </is>
      </c>
      <c r="B7" s="4" t="inlineStr">
        <is>
          <t>Peixe grelhado + legumes salteados + arroz integral. Frango grelhado sem pele + salada variada. Prato de grãos/leguminosas (feijoada de grão-de-bico, saladas com lentilha) + vegetais. Omelete de claras/ovo com legumes + salada.</t>
        </is>
      </c>
    </row>
    <row r="8" ht="60" customHeight="1">
      <c r="A8" s="3" t="inlineStr">
        <is>
          <t>Em festas/eventos</t>
        </is>
      </c>
      <c r="B8" s="4" t="inlineStr">
        <is>
          <t>Priorize proteína grelhada e salada primeiro, para 'preencher' o prato com opções seguras. Álcool: evitar ou limitar ao mínimo por causa dos triglicerídeos. Doces: só uma porção pequena, ocasionalmente.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0" customWidth="1" min="4" max="4"/>
    <col width="15" customWidth="1" min="5" max="5"/>
    <col width="46" customWidth="1" min="6" max="6"/>
  </cols>
  <sheetData>
    <row r="1" ht="26" customHeight="1">
      <c r="A1" s="1" t="inlineStr">
        <is>
          <t>Alimentos e Quantidades — lista de referência</t>
        </is>
      </c>
    </row>
    <row r="2" ht="20" customHeight="1">
      <c r="B2" s="6" t="inlineStr">
        <is>
          <t>Liberado</t>
        </is>
      </c>
      <c r="C2" s="7" t="inlineStr">
        <is>
          <t>Moderar</t>
        </is>
      </c>
      <c r="D2" s="8" t="inlineStr">
        <is>
          <t>Evitar</t>
        </is>
      </c>
    </row>
    <row r="3">
      <c r="A3" s="2" t="inlineStr">
        <is>
          <t>Categoria</t>
        </is>
      </c>
      <c r="B3" s="2" t="inlineStr">
        <is>
          <t>Alimento</t>
        </is>
      </c>
      <c r="C3" s="2" t="inlineStr">
        <is>
          <t>Porção</t>
        </is>
      </c>
      <c r="D3" s="2" t="inlineStr">
        <is>
          <t>Frequência</t>
        </is>
      </c>
      <c r="E3" s="2" t="inlineStr">
        <is>
          <t>Classificação</t>
        </is>
      </c>
      <c r="F3" s="2" t="inlineStr">
        <is>
          <t>Observação</t>
        </is>
      </c>
    </row>
    <row r="4" ht="20" customHeight="1">
      <c r="A4" s="9" t="inlineStr">
        <is>
          <t>Frutas</t>
        </is>
      </c>
      <c r="B4" s="10" t="n"/>
      <c r="C4" s="10" t="n"/>
      <c r="D4" s="10" t="n"/>
      <c r="E4" s="10" t="n"/>
      <c r="F4" s="10" t="n"/>
    </row>
    <row r="5" ht="30" customHeight="1">
      <c r="B5" s="11" t="inlineStr">
        <is>
          <t>Maçã com casca</t>
        </is>
      </c>
      <c r="C5" s="12" t="inlineStr">
        <is>
          <t>1 unidade</t>
        </is>
      </c>
      <c r="D5" s="12" t="inlineStr">
        <is>
          <t>1x/dia</t>
        </is>
      </c>
      <c r="E5" s="13" t="inlineStr">
        <is>
          <t>Liberado</t>
        </is>
      </c>
      <c r="F5" s="11" t="inlineStr"/>
    </row>
    <row r="6" ht="30" customHeight="1">
      <c r="B6" s="11" t="inlineStr">
        <is>
          <t>Banana</t>
        </is>
      </c>
      <c r="C6" s="12" t="inlineStr">
        <is>
          <t>1 unidade</t>
        </is>
      </c>
      <c r="D6" s="12" t="inlineStr">
        <is>
          <t>1x/dia</t>
        </is>
      </c>
      <c r="E6" s="13" t="inlineStr">
        <is>
          <t>Liberado</t>
        </is>
      </c>
      <c r="F6" s="11" t="inlineStr"/>
    </row>
    <row r="7" ht="30" customHeight="1">
      <c r="B7" s="11" t="inlineStr">
        <is>
          <t>Uva</t>
        </is>
      </c>
      <c r="C7" s="12" t="inlineStr">
        <is>
          <t>200 g</t>
        </is>
      </c>
      <c r="D7" s="12" t="inlineStr">
        <is>
          <t>1x/semana</t>
        </is>
      </c>
      <c r="E7" s="14" t="inlineStr">
        <is>
          <t>Moderar</t>
        </is>
      </c>
      <c r="F7" s="11" t="inlineStr">
        <is>
          <t>Mais açúcar que outras frutas</t>
        </is>
      </c>
    </row>
    <row r="8" ht="30" customHeight="1">
      <c r="B8" s="11" t="inlineStr">
        <is>
          <t>Manga</t>
        </is>
      </c>
      <c r="C8" s="12" t="inlineStr">
        <is>
          <t>200 g</t>
        </is>
      </c>
      <c r="D8" s="12" t="inlineStr">
        <is>
          <t>1x/semana</t>
        </is>
      </c>
      <c r="E8" s="14" t="inlineStr">
        <is>
          <t>Moderar</t>
        </is>
      </c>
      <c r="F8" s="11" t="inlineStr">
        <is>
          <t>Mais açúcar que outras frutas</t>
        </is>
      </c>
    </row>
    <row r="9" ht="30" customHeight="1">
      <c r="B9" s="11" t="inlineStr">
        <is>
          <t>Abacate</t>
        </is>
      </c>
      <c r="C9" s="12" t="inlineStr">
        <is>
          <t>2 colheres de sopa</t>
        </is>
      </c>
      <c r="D9" s="12" t="inlineStr">
        <is>
          <t>1x/dia</t>
        </is>
      </c>
      <c r="E9" s="13" t="inlineStr">
        <is>
          <t>Liberado</t>
        </is>
      </c>
      <c r="F9" s="11" t="inlineStr">
        <is>
          <t>Gordura boa, mas calórico</t>
        </is>
      </c>
    </row>
    <row r="10" ht="30" customHeight="1">
      <c r="B10" s="11" t="inlineStr">
        <is>
          <t>Toranja / grapefruit</t>
        </is>
      </c>
      <c r="C10" s="12" t="inlineStr">
        <is>
          <t>-</t>
        </is>
      </c>
      <c r="D10" s="12" t="inlineStr">
        <is>
          <t>evitar</t>
        </is>
      </c>
      <c r="E10" s="15" t="inlineStr">
        <is>
          <t>Evitar</t>
        </is>
      </c>
      <c r="F10" s="11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</row>
    <row r="11" ht="20" customHeight="1">
      <c r="A11" s="9" t="inlineStr">
        <is>
          <t>Grãos e Cereais</t>
        </is>
      </c>
      <c r="B11" s="10" t="n"/>
      <c r="C11" s="10" t="n"/>
      <c r="D11" s="10" t="n"/>
      <c r="E11" s="10" t="n"/>
      <c r="F11" s="10" t="n"/>
    </row>
    <row r="12" ht="30" customHeight="1">
      <c r="B12" s="11" t="inlineStr">
        <is>
          <t>Arroz integral</t>
        </is>
      </c>
      <c r="C12" s="12" t="inlineStr">
        <is>
          <t>200 g (cozido)</t>
        </is>
      </c>
      <c r="D12" s="12" t="inlineStr">
        <is>
          <t>quase todo dia</t>
        </is>
      </c>
      <c r="E12" s="13" t="inlineStr">
        <is>
          <t>Liberado</t>
        </is>
      </c>
      <c r="F12" s="11" t="inlineStr"/>
    </row>
    <row r="13" ht="30" customHeight="1">
      <c r="B13" s="11" t="inlineStr">
        <is>
          <t>Arroz branco</t>
        </is>
      </c>
      <c r="C13" s="12" t="inlineStr">
        <is>
          <t>200 g (cozido)</t>
        </is>
      </c>
      <c r="D13" s="12" t="inlineStr">
        <is>
          <t>2x/semana</t>
        </is>
      </c>
      <c r="E13" s="14" t="inlineStr">
        <is>
          <t>Moderar</t>
        </is>
      </c>
      <c r="F13" s="11" t="inlineStr">
        <is>
          <t>Preferir integral no restante da semana</t>
        </is>
      </c>
    </row>
    <row r="14" ht="30" customHeight="1">
      <c r="B14" s="11" t="inlineStr">
        <is>
          <t>Aveia</t>
        </is>
      </c>
      <c r="C14" s="12" t="inlineStr">
        <is>
          <t>2 colheres de sopa</t>
        </is>
      </c>
      <c r="D14" s="12" t="inlineStr">
        <is>
          <t>1x/dia</t>
        </is>
      </c>
      <c r="E14" s="13" t="inlineStr">
        <is>
          <t>Liberado</t>
        </is>
      </c>
      <c r="F14" s="11" t="inlineStr">
        <is>
          <t>Ajuda a reduzir colesterol</t>
        </is>
      </c>
    </row>
    <row r="15" ht="30" customHeight="1">
      <c r="B15" s="11" t="inlineStr">
        <is>
          <t>Pão integral</t>
        </is>
      </c>
      <c r="C15" s="12" t="inlineStr">
        <is>
          <t>2 fatias</t>
        </is>
      </c>
      <c r="D15" s="12" t="inlineStr">
        <is>
          <t>1x/dia</t>
        </is>
      </c>
      <c r="E15" s="13" t="inlineStr">
        <is>
          <t>Liberado</t>
        </is>
      </c>
      <c r="F15" s="11" t="inlineStr"/>
    </row>
    <row r="16" ht="20" customHeight="1">
      <c r="A16" s="9" t="inlineStr">
        <is>
          <t>Proteínas</t>
        </is>
      </c>
      <c r="B16" s="10" t="n"/>
      <c r="C16" s="10" t="n"/>
      <c r="D16" s="10" t="n"/>
      <c r="E16" s="10" t="n"/>
      <c r="F16" s="10" t="n"/>
    </row>
    <row r="17" ht="30" customHeight="1">
      <c r="B17" s="11" t="inlineStr">
        <is>
          <t>Peixe</t>
        </is>
      </c>
      <c r="C17" s="12" t="inlineStr">
        <is>
          <t>150 g</t>
        </is>
      </c>
      <c r="D17" s="12" t="inlineStr">
        <is>
          <t>3x/semana</t>
        </is>
      </c>
      <c r="E17" s="13" t="inlineStr">
        <is>
          <t>Liberado</t>
        </is>
      </c>
      <c r="F17" s="11" t="inlineStr">
        <is>
          <t>Fonte de ômega-3</t>
        </is>
      </c>
    </row>
    <row r="18" ht="30" customHeight="1">
      <c r="B18" s="11" t="inlineStr">
        <is>
          <t>Frango sem pele</t>
        </is>
      </c>
      <c r="C18" s="12" t="inlineStr">
        <is>
          <t>150 g</t>
        </is>
      </c>
      <c r="D18" s="12" t="inlineStr">
        <is>
          <t>quase todo dia</t>
        </is>
      </c>
      <c r="E18" s="13" t="inlineStr">
        <is>
          <t>Liberado</t>
        </is>
      </c>
      <c r="F18" s="11" t="inlineStr"/>
    </row>
    <row r="19" ht="30" customHeight="1">
      <c r="B19" s="11" t="inlineStr">
        <is>
          <t>Carne vermelha magra</t>
        </is>
      </c>
      <c r="C19" s="12" t="inlineStr">
        <is>
          <t>150 g</t>
        </is>
      </c>
      <c r="D19" s="12" t="inlineStr">
        <is>
          <t>1x/semana</t>
        </is>
      </c>
      <c r="E19" s="14" t="inlineStr">
        <is>
          <t>Moderar</t>
        </is>
      </c>
      <c r="F19" s="11" t="inlineStr">
        <is>
          <t>Preferir cortes magros</t>
        </is>
      </c>
    </row>
    <row r="20" ht="30" customHeight="1">
      <c r="B20" s="11" t="inlineStr">
        <is>
          <t>Ovo</t>
        </is>
      </c>
      <c r="C20" s="12" t="inlineStr">
        <is>
          <t>1 unidade</t>
        </is>
      </c>
      <c r="D20" s="12" t="inlineStr">
        <is>
          <t>até 5x/semana</t>
        </is>
      </c>
      <c r="E20" s="13" t="inlineStr">
        <is>
          <t>Liberado</t>
        </is>
      </c>
      <c r="F20" s="11" t="inlineStr"/>
    </row>
    <row r="21" ht="30" customHeight="1">
      <c r="B21" s="11" t="inlineStr">
        <is>
          <t>Feijão / leguminosas</t>
        </is>
      </c>
      <c r="C21" s="12" t="inlineStr">
        <is>
          <t>1 concha</t>
        </is>
      </c>
      <c r="D21" s="12" t="inlineStr">
        <is>
          <t>1x/dia</t>
        </is>
      </c>
      <c r="E21" s="13" t="inlineStr">
        <is>
          <t>Liberado</t>
        </is>
      </c>
      <c r="F21" s="11" t="inlineStr"/>
    </row>
    <row r="22" ht="20" customHeight="1">
      <c r="A22" s="9" t="inlineStr">
        <is>
          <t>Laticínios</t>
        </is>
      </c>
      <c r="B22" s="10" t="n"/>
      <c r="C22" s="10" t="n"/>
      <c r="D22" s="10" t="n"/>
      <c r="E22" s="10" t="n"/>
      <c r="F22" s="10" t="n"/>
    </row>
    <row r="23" ht="30" customHeight="1">
      <c r="B23" s="11" t="inlineStr">
        <is>
          <t>Leite desnatado</t>
        </is>
      </c>
      <c r="C23" s="12" t="inlineStr">
        <is>
          <t>200 ml</t>
        </is>
      </c>
      <c r="D23" s="12" t="inlineStr">
        <is>
          <t>1x/dia</t>
        </is>
      </c>
      <c r="E23" s="13" t="inlineStr">
        <is>
          <t>Liberado</t>
        </is>
      </c>
      <c r="F23" s="11" t="inlineStr"/>
    </row>
    <row r="24" ht="30" customHeight="1">
      <c r="B24" s="11" t="inlineStr">
        <is>
          <t>Queijo branco</t>
        </is>
      </c>
      <c r="C24" s="12" t="inlineStr">
        <is>
          <t>30 g</t>
        </is>
      </c>
      <c r="D24" s="12" t="inlineStr">
        <is>
          <t>3x/semana</t>
        </is>
      </c>
      <c r="E24" s="14" t="inlineStr">
        <is>
          <t>Moderar</t>
        </is>
      </c>
      <c r="F24" s="11" t="inlineStr">
        <is>
          <t>Atenção ao sódio</t>
        </is>
      </c>
    </row>
    <row r="25" ht="30" customHeight="1">
      <c r="B25" s="11" t="inlineStr">
        <is>
          <t>Iogurte natural (desnatado, sem açúcar)</t>
        </is>
      </c>
      <c r="C25" s="12" t="inlineStr">
        <is>
          <t>1 unidade</t>
        </is>
      </c>
      <c r="D25" s="12" t="inlineStr">
        <is>
          <t>1x/dia</t>
        </is>
      </c>
      <c r="E25" s="13" t="inlineStr">
        <is>
          <t>Liberado</t>
        </is>
      </c>
      <c r="F25" s="11" t="inlineStr">
        <is>
          <t>Prefira sempre a versão sem açúcar adicionado</t>
        </is>
      </c>
    </row>
    <row r="26" ht="30" customHeight="1">
      <c r="B26" s="11" t="inlineStr">
        <is>
          <t>Requeijão</t>
        </is>
      </c>
      <c r="C26" s="12" t="inlineStr">
        <is>
          <t>1 colher de sopa (≈15 g)</t>
        </is>
      </c>
      <c r="D26" s="12" t="inlineStr">
        <is>
          <t>2x/semana</t>
        </is>
      </c>
      <c r="E26" s="14" t="inlineStr">
        <is>
          <t>Moderar</t>
        </is>
      </c>
      <c r="F26" s="11" t="inlineStr">
        <is>
          <t>Rico em gordura saturada e sódio; prefira a versão light. Sugestão gerada por IA — confirmar com nutricionista/cardiologista.</t>
        </is>
      </c>
    </row>
    <row r="27" ht="20" customHeight="1">
      <c r="A27" s="9" t="inlineStr">
        <is>
          <t>Bebidas</t>
        </is>
      </c>
      <c r="B27" s="10" t="n"/>
      <c r="C27" s="10" t="n"/>
      <c r="D27" s="10" t="n"/>
      <c r="E27" s="10" t="n"/>
      <c r="F27" s="10" t="n"/>
    </row>
    <row r="28" ht="30" customHeight="1">
      <c r="B28" s="11" t="inlineStr">
        <is>
          <t>Água</t>
        </is>
      </c>
      <c r="C28" s="12" t="inlineStr">
        <is>
          <t>à vontade</t>
        </is>
      </c>
      <c r="D28" s="12" t="inlineStr">
        <is>
          <t>todos os dias</t>
        </is>
      </c>
      <c r="E28" s="13" t="inlineStr">
        <is>
          <t>Liberado</t>
        </is>
      </c>
      <c r="F28" s="11" t="inlineStr"/>
    </row>
    <row r="29" ht="30" customHeight="1">
      <c r="B29" s="11" t="inlineStr">
        <is>
          <t>Refrigerante zero</t>
        </is>
      </c>
      <c r="C29" s="12" t="inlineStr">
        <is>
          <t>200 ml</t>
        </is>
      </c>
      <c r="D29" s="12" t="inlineStr">
        <is>
          <t>1x/dia</t>
        </is>
      </c>
      <c r="E29" s="14" t="inlineStr">
        <is>
          <t>Moderar</t>
        </is>
      </c>
      <c r="F29" s="11" t="inlineStr">
        <is>
          <t>Sugestão gerada por IA — confirmar com nutricionista/cardiologista</t>
        </is>
      </c>
    </row>
    <row r="30" ht="30" customHeight="1">
      <c r="B30" s="11" t="inlineStr">
        <is>
          <t>Café sem açúcar</t>
        </is>
      </c>
      <c r="C30" s="12" t="inlineStr">
        <is>
          <t>1 xícara</t>
        </is>
      </c>
      <c r="D30" s="12" t="inlineStr">
        <is>
          <t>2x/dia</t>
        </is>
      </c>
      <c r="E30" s="13" t="inlineStr">
        <is>
          <t>Liberado</t>
        </is>
      </c>
      <c r="F30" s="11" t="inlineStr"/>
    </row>
    <row r="31" ht="30" customHeight="1">
      <c r="B31" s="11" t="inlineStr">
        <is>
          <t>Suco natural sem açúcar</t>
        </is>
      </c>
      <c r="C31" s="12" t="inlineStr">
        <is>
          <t>200 ml</t>
        </is>
      </c>
      <c r="D31" s="12" t="inlineStr">
        <is>
          <t>3x/semana</t>
        </is>
      </c>
      <c r="E31" s="14" t="inlineStr">
        <is>
          <t>Moderar</t>
        </is>
      </c>
      <c r="F31" s="11" t="inlineStr">
        <is>
          <t>Preferir a fruta inteira, que tem mais fibra</t>
        </is>
      </c>
    </row>
    <row r="32" ht="30" customHeight="1">
      <c r="B32" s="11" t="inlineStr">
        <is>
          <t>Suco de toranja / grapefruit</t>
        </is>
      </c>
      <c r="C32" s="12" t="inlineStr">
        <is>
          <t>-</t>
        </is>
      </c>
      <c r="D32" s="12" t="inlineStr">
        <is>
          <t>evitar</t>
        </is>
      </c>
      <c r="E32" s="15" t="inlineStr">
        <is>
          <t>Evitar</t>
        </is>
      </c>
      <c r="F32" s="11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</row>
    <row r="33" ht="30" customHeight="1">
      <c r="B33" s="11" t="inlineStr">
        <is>
          <t>Bebida alcoólica</t>
        </is>
      </c>
      <c r="C33" s="12" t="inlineStr">
        <is>
          <t>-</t>
        </is>
      </c>
      <c r="D33" s="12" t="inlineStr">
        <is>
          <t>evitar</t>
        </is>
      </c>
      <c r="E33" s="15" t="inlineStr">
        <is>
          <t>Evitar</t>
        </is>
      </c>
      <c r="F33" s="11" t="inlineStr">
        <is>
          <t>Piora diretamente os triglicerídeos; soma-se ao risco de sangramento da Aspirina + Ticagrelor.</t>
        </is>
      </c>
    </row>
    <row r="34" ht="20" customHeight="1">
      <c r="A34" s="9" t="inlineStr">
        <is>
          <t>Doces e Sobremesas</t>
        </is>
      </c>
      <c r="B34" s="10" t="n"/>
      <c r="C34" s="10" t="n"/>
      <c r="D34" s="10" t="n"/>
      <c r="E34" s="10" t="n"/>
      <c r="F34" s="10" t="n"/>
    </row>
    <row r="35" ht="30" customHeight="1">
      <c r="B35" s="11" t="inlineStr">
        <is>
          <t>Açúcar refinado</t>
        </is>
      </c>
      <c r="C35" s="12" t="inlineStr">
        <is>
          <t>-</t>
        </is>
      </c>
      <c r="D35" s="12" t="inlineStr">
        <is>
          <t>evitar</t>
        </is>
      </c>
      <c r="E35" s="15" t="inlineStr">
        <is>
          <t>Evitar</t>
        </is>
      </c>
      <c r="F35" s="11" t="inlineStr">
        <is>
          <t>Impacto direto nos triglicerídeos</t>
        </is>
      </c>
    </row>
    <row r="36" ht="30" customHeight="1">
      <c r="B36" s="11" t="inlineStr">
        <is>
          <t>Doces industrializados</t>
        </is>
      </c>
      <c r="C36" s="12" t="inlineStr">
        <is>
          <t>-</t>
        </is>
      </c>
      <c r="D36" s="12" t="inlineStr">
        <is>
          <t>evitar</t>
        </is>
      </c>
      <c r="E36" s="15" t="inlineStr">
        <is>
          <t>Evitar</t>
        </is>
      </c>
      <c r="F36" s="11" t="inlineStr"/>
    </row>
    <row r="37" ht="30" customHeight="1">
      <c r="B37" s="11" t="inlineStr">
        <is>
          <t>Chocolate amargo (70%+)</t>
        </is>
      </c>
      <c r="C37" s="12" t="inlineStr">
        <is>
          <t>10 g</t>
        </is>
      </c>
      <c r="D37" s="12" t="inlineStr">
        <is>
          <t>2x/semana</t>
        </is>
      </c>
      <c r="E37" s="14" t="inlineStr">
        <is>
          <t>Moderar</t>
        </is>
      </c>
      <c r="F37" s="11" t="inlineStr">
        <is>
          <t>Sugestão gerada por IA — confirmar com nutricionista/cardiologista</t>
        </is>
      </c>
    </row>
    <row r="38" ht="20" customHeight="1">
      <c r="A38" s="9" t="inlineStr">
        <is>
          <t>Gorduras e Temperos</t>
        </is>
      </c>
      <c r="B38" s="10" t="n"/>
      <c r="C38" s="10" t="n"/>
      <c r="D38" s="10" t="n"/>
      <c r="E38" s="10" t="n"/>
      <c r="F38" s="10" t="n"/>
    </row>
    <row r="39" ht="30" customHeight="1">
      <c r="B39" s="11" t="inlineStr">
        <is>
          <t>Azeite de oliva extra virgem</t>
        </is>
      </c>
      <c r="C39" s="12" t="inlineStr">
        <is>
          <t>1-2 colheres de sopa</t>
        </is>
      </c>
      <c r="D39" s="12" t="inlineStr">
        <is>
          <t>1x/dia</t>
        </is>
      </c>
      <c r="E39" s="13" t="inlineStr">
        <is>
          <t>Liberado</t>
        </is>
      </c>
      <c r="F39" s="11" t="inlineStr"/>
    </row>
    <row r="40" ht="30" customHeight="1">
      <c r="B40" s="11" t="inlineStr">
        <is>
          <t>Manteiga</t>
        </is>
      </c>
      <c r="C40" s="12" t="inlineStr">
        <is>
          <t>-</t>
        </is>
      </c>
      <c r="D40" s="12" t="inlineStr">
        <is>
          <t>evitar</t>
        </is>
      </c>
      <c r="E40" s="15" t="inlineStr">
        <is>
          <t>Evitar</t>
        </is>
      </c>
      <c r="F40" s="11" t="inlineStr">
        <is>
          <t>Preferir azeite</t>
        </is>
      </c>
    </row>
    <row r="41" ht="30" customHeight="1">
      <c r="B41" s="11" t="inlineStr">
        <is>
          <t>Sal</t>
        </is>
      </c>
      <c r="C41" s="12" t="inlineStr">
        <is>
          <t>&lt; 5 g no total</t>
        </is>
      </c>
      <c r="D41" s="12" t="inlineStr">
        <is>
          <t>todos os dias</t>
        </is>
      </c>
      <c r="E41" s="14" t="inlineStr">
        <is>
          <t>Moderar</t>
        </is>
      </c>
      <c r="F41" s="11" t="inlineStr">
        <is>
          <t>Somar sal de cozinha + industrializados</t>
        </is>
      </c>
    </row>
    <row r="42" ht="30" customHeight="1">
      <c r="B42" s="11" t="inlineStr">
        <is>
          <t>Sal light / substituto de sal (cloreto de potássio)</t>
        </is>
      </c>
      <c r="C42" s="12" t="inlineStr">
        <is>
          <t>-</t>
        </is>
      </c>
      <c r="D42" s="12" t="inlineStr">
        <is>
          <t>evitar</t>
        </is>
      </c>
      <c r="E42" s="15" t="inlineStr">
        <is>
          <t>Evitar</t>
        </is>
      </c>
      <c r="F42" s="11" t="inlineStr">
        <is>
          <t>Enalapril já tende a elevar o potássio; combinado com esse produto o risco de hipercalemia aumenta, ainda mais com a função renal pendente.</t>
        </is>
      </c>
    </row>
    <row r="43" ht="30" customHeight="1">
      <c r="B43" s="11" t="inlineStr">
        <is>
          <t>Ervas e temperos naturais</t>
        </is>
      </c>
      <c r="C43" s="12" t="inlineStr">
        <is>
          <t>à vontade</t>
        </is>
      </c>
      <c r="D43" s="12" t="inlineStr">
        <is>
          <t>todos os dias</t>
        </is>
      </c>
      <c r="E43" s="13" t="inlineStr">
        <is>
          <t>Liberado</t>
        </is>
      </c>
      <c r="F43" s="11" t="inlineStr"/>
    </row>
    <row r="44" ht="20" customHeight="1">
      <c r="A44" s="9" t="inlineStr">
        <is>
          <t>Vegetais e Verduras</t>
        </is>
      </c>
      <c r="B44" s="10" t="n"/>
      <c r="C44" s="10" t="n"/>
      <c r="D44" s="10" t="n"/>
      <c r="E44" s="10" t="n"/>
      <c r="F44" s="10" t="n"/>
    </row>
    <row r="45" ht="30" customHeight="1">
      <c r="B45" s="11" t="inlineStr">
        <is>
          <t>Vegetais e verduras em geral</t>
        </is>
      </c>
      <c r="C45" s="12" t="inlineStr">
        <is>
          <t>à vontade</t>
        </is>
      </c>
      <c r="D45" s="12" t="inlineStr">
        <is>
          <t>todos os dias</t>
        </is>
      </c>
      <c r="E45" s="13" t="inlineStr">
        <is>
          <t>Liberado</t>
        </is>
      </c>
      <c r="F45" s="11" t="inlineStr">
        <is>
          <t>Se entrar anticoagulante na medicação, revisar consumo de verde-escuros ricos em vitamina K</t>
        </is>
      </c>
    </row>
    <row r="47" ht="30" customHeight="1">
      <c r="A47" s="16" t="inlineStr">
        <is>
          <t>Lista com os alimentos acrescentados até agora — não é uma lista completa. Use a skill 'adicionar-alimento' (ex.: "adicione sucrilhos") para ir acrescentando novos itens aos poucos.</t>
        </is>
      </c>
    </row>
  </sheetData>
  <mergeCells count="10">
    <mergeCell ref="A38:F38"/>
    <mergeCell ref="A16:F16"/>
    <mergeCell ref="A11:F11"/>
    <mergeCell ref="A47:F47"/>
    <mergeCell ref="A44:F44"/>
    <mergeCell ref="A1:F1"/>
    <mergeCell ref="A27:F27"/>
    <mergeCell ref="A22:F22"/>
    <mergeCell ref="A34:F34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6" customWidth="1" min="4" max="4"/>
    <col width="20" customWidth="1" min="5" max="5"/>
    <col width="14" customWidth="1" min="6" max="6"/>
    <col width="34" customWidth="1" min="7" max="7"/>
    <col width="14" customWidth="1" min="8" max="8"/>
  </cols>
  <sheetData>
    <row r="1" ht="26" customHeight="1">
      <c r="A1" s="1" t="inlineStr">
        <is>
          <t>Montar uma Refeição — escolha os alimentos de cada refeição</t>
        </is>
      </c>
    </row>
    <row r="2" ht="48" customHeight="1">
      <c r="A2" s="16" t="inlineStr">
        <is>
          <t>Escolha o alimento no menu suspenso da coluna 'Alimento' — a lista já vem filtrada por refeição (por isso não aparece arroz/feijão no café da manhã, por exemplo) e com os alimentos Liberados primeiro. Categoria, Porção sugerida e Classificação preenchem sozinhas. 'Sugestão' mostra um alimento que costuma combinar bem com o item escolhido logo acima (é uma dica, não é obrigatório escolher). Se 'Conflito' mostrar '⚠ Conflito', evite reunir esses itens na mesma refeição.</t>
        </is>
      </c>
    </row>
    <row r="3" ht="20" customHeight="1">
      <c r="A3" s="17" t="inlineStr">
        <is>
          <t>Legenda:</t>
        </is>
      </c>
      <c r="B3" s="18" t="inlineStr">
        <is>
          <t>Liberado</t>
        </is>
      </c>
      <c r="C3" s="19" t="inlineStr">
        <is>
          <t>Moderar</t>
        </is>
      </c>
      <c r="D3" s="20" t="inlineStr">
        <is>
          <t>Evitar</t>
        </is>
      </c>
      <c r="F3" s="21" t="inlineStr">
        <is>
          <t>⚠ Conflito</t>
        </is>
      </c>
    </row>
    <row r="5" ht="20" customHeight="1">
      <c r="A5" s="22" t="inlineStr">
        <is>
          <t>CAFÉ DA MANHÃ</t>
        </is>
      </c>
      <c r="B5" s="10" t="n"/>
      <c r="C5" s="10" t="n"/>
      <c r="D5" s="10" t="n"/>
      <c r="E5" s="10" t="n"/>
      <c r="F5" s="10" t="n"/>
      <c r="G5" s="10" t="n"/>
      <c r="H5" s="10" t="n"/>
    </row>
    <row r="6" ht="30" customHeight="1">
      <c r="A6" s="23" t="inlineStr">
        <is>
          <t>Nº</t>
        </is>
      </c>
      <c r="B6" s="23" t="inlineStr">
        <is>
          <t>Alimento</t>
        </is>
      </c>
      <c r="C6" s="23" t="inlineStr">
        <is>
          <t>Categoria</t>
        </is>
      </c>
      <c r="D6" s="23" t="inlineStr">
        <is>
          <t>Porção sugerida</t>
        </is>
      </c>
      <c r="E6" s="23" t="inlineStr">
        <is>
          <t>Quantidade a comer</t>
        </is>
      </c>
      <c r="F6" s="23" t="inlineStr">
        <is>
          <t>Classificação</t>
        </is>
      </c>
      <c r="G6" s="23" t="inlineStr">
        <is>
          <t>Sugestão (com base no item anterior)</t>
        </is>
      </c>
      <c r="H6" s="23" t="inlineStr">
        <is>
          <t>Conflito</t>
        </is>
      </c>
    </row>
    <row r="7" ht="26" customHeight="1">
      <c r="A7" s="24" t="n">
        <v>1</v>
      </c>
      <c r="B7" s="25" t="n"/>
      <c r="C7" s="26">
        <f>IFERROR(INDEX(Ref_Alimentos!$B$2:$B$101,MATCH($B7,Ref_Alimentos!$A$2:$A$101,0)),"")</f>
        <v/>
      </c>
      <c r="D7" s="27">
        <f>IFERROR(INDEX(Ref_Alimentos!$D$2:$D$101,MATCH($B7,Ref_Alimentos!$A$2:$A$101,0)),"")</f>
        <v/>
      </c>
      <c r="E7" s="24" t="n"/>
      <c r="F7" s="28">
        <f>IFERROR(INDEX(Ref_Alimentos!$C$2:$C$101,MATCH($B7,Ref_Alimentos!$A$2:$A$101,0)),"")</f>
        <v/>
      </c>
      <c r="G7" s="29" t="inlineStr"/>
      <c r="H7" s="30">
        <f>IF($B7="","",IF($F7="Evitar","⚠ Conflito",IF(AND($F7="Moderar",SUMPRODUCT(($B$7:$B$11&lt;&gt;"")*(ROW($B$7:$B$11)&lt;&gt;ROW($B7))*(($F$7:$F$11="Moderar")+($F$7:$F$11="Evitar")))&gt;0),"⚠ Conflito","")))</f>
        <v/>
      </c>
    </row>
    <row r="8" ht="26" customHeight="1">
      <c r="A8" s="24" t="n">
        <v>2</v>
      </c>
      <c r="B8" s="25" t="n"/>
      <c r="C8" s="26">
        <f>IFERROR(INDEX(Ref_Alimentos!$B$2:$B$101,MATCH($B8,Ref_Alimentos!$A$2:$A$101,0)),"")</f>
        <v/>
      </c>
      <c r="D8" s="27">
        <f>IFERROR(INDEX(Ref_Alimentos!$D$2:$D$101,MATCH($B8,Ref_Alimentos!$A$2:$A$101,0)),"")</f>
        <v/>
      </c>
      <c r="E8" s="24" t="n"/>
      <c r="F8" s="28">
        <f>IFERROR(INDEX(Ref_Alimentos!$C$2:$C$101,MATCH($B8,Ref_Alimentos!$A$2:$A$101,0)),"")</f>
        <v/>
      </c>
      <c r="G8" s="29">
        <f>IF($B7="","",IFERROR(INDEX(Ref_Alimentos!$R$2:$R$60,MATCH(IFERROR(INDEX(Ref_Alimentos!$U$2:$U$9,MATCH($C7,Ref_Alimentos!$T$2:$T$9,0)),"")&amp;"|"&amp;"Café da manhã",Ref_Alimentos!$Q$2:$Q$60,0)),""))</f>
        <v/>
      </c>
      <c r="H8" s="30">
        <f>IF($B8="","",IF($F8="Evitar","⚠ Conflito",IF(AND($F8="Moderar",SUMPRODUCT(($B$7:$B$11&lt;&gt;"")*(ROW($B$7:$B$11)&lt;&gt;ROW($B8))*(($F$7:$F$11="Moderar")+($F$7:$F$11="Evitar")))&gt;0),"⚠ Conflito","")))</f>
        <v/>
      </c>
    </row>
    <row r="9" ht="26" customHeight="1">
      <c r="A9" s="24" t="n">
        <v>3</v>
      </c>
      <c r="B9" s="25" t="n"/>
      <c r="C9" s="26">
        <f>IFERROR(INDEX(Ref_Alimentos!$B$2:$B$101,MATCH($B9,Ref_Alimentos!$A$2:$A$101,0)),"")</f>
        <v/>
      </c>
      <c r="D9" s="27">
        <f>IFERROR(INDEX(Ref_Alimentos!$D$2:$D$101,MATCH($B9,Ref_Alimentos!$A$2:$A$101,0)),"")</f>
        <v/>
      </c>
      <c r="E9" s="24" t="n"/>
      <c r="F9" s="28">
        <f>IFERROR(INDEX(Ref_Alimentos!$C$2:$C$101,MATCH($B9,Ref_Alimentos!$A$2:$A$101,0)),"")</f>
        <v/>
      </c>
      <c r="G9" s="29">
        <f>IF($B8="","",IFERROR(INDEX(Ref_Alimentos!$R$2:$R$60,MATCH(IFERROR(INDEX(Ref_Alimentos!$U$2:$U$9,MATCH($C8,Ref_Alimentos!$T$2:$T$9,0)),"")&amp;"|"&amp;"Café da manhã",Ref_Alimentos!$Q$2:$Q$60,0)),""))</f>
        <v/>
      </c>
      <c r="H9" s="30">
        <f>IF($B9="","",IF($F9="Evitar","⚠ Conflito",IF(AND($F9="Moderar",SUMPRODUCT(($B$7:$B$11&lt;&gt;"")*(ROW($B$7:$B$11)&lt;&gt;ROW($B9))*(($F$7:$F$11="Moderar")+($F$7:$F$11="Evitar")))&gt;0),"⚠ Conflito","")))</f>
        <v/>
      </c>
    </row>
    <row r="10" ht="26" customHeight="1">
      <c r="A10" s="24" t="n">
        <v>4</v>
      </c>
      <c r="B10" s="25" t="n"/>
      <c r="C10" s="26">
        <f>IFERROR(INDEX(Ref_Alimentos!$B$2:$B$101,MATCH($B10,Ref_Alimentos!$A$2:$A$101,0)),"")</f>
        <v/>
      </c>
      <c r="D10" s="27">
        <f>IFERROR(INDEX(Ref_Alimentos!$D$2:$D$101,MATCH($B10,Ref_Alimentos!$A$2:$A$101,0)),"")</f>
        <v/>
      </c>
      <c r="E10" s="24" t="n"/>
      <c r="F10" s="28">
        <f>IFERROR(INDEX(Ref_Alimentos!$C$2:$C$101,MATCH($B10,Ref_Alimentos!$A$2:$A$101,0)),"")</f>
        <v/>
      </c>
      <c r="G10" s="29">
        <f>IF($B9="","",IFERROR(INDEX(Ref_Alimentos!$R$2:$R$60,MATCH(IFERROR(INDEX(Ref_Alimentos!$U$2:$U$9,MATCH($C9,Ref_Alimentos!$T$2:$T$9,0)),"")&amp;"|"&amp;"Café da manhã",Ref_Alimentos!$Q$2:$Q$60,0)),""))</f>
        <v/>
      </c>
      <c r="H10" s="30">
        <f>IF($B10="","",IF($F10="Evitar","⚠ Conflito",IF(AND($F10="Moderar",SUMPRODUCT(($B$7:$B$11&lt;&gt;"")*(ROW($B$7:$B$11)&lt;&gt;ROW($B10))*(($F$7:$F$11="Moderar")+($F$7:$F$11="Evitar")))&gt;0),"⚠ Conflito","")))</f>
        <v/>
      </c>
    </row>
    <row r="11" ht="26" customHeight="1">
      <c r="A11" s="24" t="n">
        <v>5</v>
      </c>
      <c r="B11" s="25" t="n"/>
      <c r="C11" s="26">
        <f>IFERROR(INDEX(Ref_Alimentos!$B$2:$B$101,MATCH($B11,Ref_Alimentos!$A$2:$A$101,0)),"")</f>
        <v/>
      </c>
      <c r="D11" s="27">
        <f>IFERROR(INDEX(Ref_Alimentos!$D$2:$D$101,MATCH($B11,Ref_Alimentos!$A$2:$A$101,0)),"")</f>
        <v/>
      </c>
      <c r="E11" s="24" t="n"/>
      <c r="F11" s="28">
        <f>IFERROR(INDEX(Ref_Alimentos!$C$2:$C$101,MATCH($B11,Ref_Alimentos!$A$2:$A$101,0)),"")</f>
        <v/>
      </c>
      <c r="G11" s="29">
        <f>IF($B10="","",IFERROR(INDEX(Ref_Alimentos!$R$2:$R$60,MATCH(IFERROR(INDEX(Ref_Alimentos!$U$2:$U$9,MATCH($C10,Ref_Alimentos!$T$2:$T$9,0)),"")&amp;"|"&amp;"Café da manhã",Ref_Alimentos!$Q$2:$Q$60,0)),""))</f>
        <v/>
      </c>
      <c r="H11" s="30">
        <f>IF($B11="","",IF($F11="Evitar","⚠ Conflito",IF(AND($F11="Moderar",SUMPRODUCT(($B$7:$B$11&lt;&gt;"")*(ROW($B$7:$B$11)&lt;&gt;ROW($B11))*(($F$7:$F$11="Moderar")+($F$7:$F$11="Evitar")))&gt;0),"⚠ Conflito","")))</f>
        <v/>
      </c>
    </row>
    <row r="13" ht="20" customHeight="1">
      <c r="A13" s="22" t="inlineStr">
        <is>
          <t>ALMOÇO</t>
        </is>
      </c>
      <c r="B13" s="10" t="n"/>
      <c r="C13" s="10" t="n"/>
      <c r="D13" s="10" t="n"/>
      <c r="E13" s="10" t="n"/>
      <c r="F13" s="10" t="n"/>
      <c r="G13" s="10" t="n"/>
      <c r="H13" s="10" t="n"/>
    </row>
    <row r="14" ht="30" customHeight="1">
      <c r="A14" s="23" t="inlineStr">
        <is>
          <t>Nº</t>
        </is>
      </c>
      <c r="B14" s="23" t="inlineStr">
        <is>
          <t>Alimento</t>
        </is>
      </c>
      <c r="C14" s="23" t="inlineStr">
        <is>
          <t>Categoria</t>
        </is>
      </c>
      <c r="D14" s="23" t="inlineStr">
        <is>
          <t>Porção sugerida</t>
        </is>
      </c>
      <c r="E14" s="23" t="inlineStr">
        <is>
          <t>Quantidade a comer</t>
        </is>
      </c>
      <c r="F14" s="23" t="inlineStr">
        <is>
          <t>Classificação</t>
        </is>
      </c>
      <c r="G14" s="23" t="inlineStr">
        <is>
          <t>Sugestão (com base no item anterior)</t>
        </is>
      </c>
      <c r="H14" s="23" t="inlineStr">
        <is>
          <t>Conflito</t>
        </is>
      </c>
    </row>
    <row r="15" ht="26" customHeight="1">
      <c r="A15" s="24" t="n">
        <v>1</v>
      </c>
      <c r="B15" s="25" t="n"/>
      <c r="C15" s="26">
        <f>IFERROR(INDEX(Ref_Alimentos!$B$2:$B$101,MATCH($B15,Ref_Alimentos!$A$2:$A$101,0)),"")</f>
        <v/>
      </c>
      <c r="D15" s="27">
        <f>IFERROR(INDEX(Ref_Alimentos!$D$2:$D$101,MATCH($B15,Ref_Alimentos!$A$2:$A$101,0)),"")</f>
        <v/>
      </c>
      <c r="E15" s="24" t="n"/>
      <c r="F15" s="28">
        <f>IFERROR(INDEX(Ref_Alimentos!$C$2:$C$101,MATCH($B15,Ref_Alimentos!$A$2:$A$101,0)),"")</f>
        <v/>
      </c>
      <c r="G15" s="29" t="inlineStr"/>
      <c r="H15" s="30">
        <f>IF($B15="","",IF($F15="Evitar","⚠ Conflito",IF(AND($F15="Moderar",SUMPRODUCT(($B$15:$B$19&lt;&gt;"")*(ROW($B$15:$B$19)&lt;&gt;ROW($B15))*(($F$15:$F$19="Moderar")+($F$15:$F$19="Evitar")))&gt;0),"⚠ Conflito","")))</f>
        <v/>
      </c>
    </row>
    <row r="16" ht="26" customHeight="1">
      <c r="A16" s="24" t="n">
        <v>2</v>
      </c>
      <c r="B16" s="25" t="n"/>
      <c r="C16" s="26">
        <f>IFERROR(INDEX(Ref_Alimentos!$B$2:$B$101,MATCH($B16,Ref_Alimentos!$A$2:$A$101,0)),"")</f>
        <v/>
      </c>
      <c r="D16" s="27">
        <f>IFERROR(INDEX(Ref_Alimentos!$D$2:$D$101,MATCH($B16,Ref_Alimentos!$A$2:$A$101,0)),"")</f>
        <v/>
      </c>
      <c r="E16" s="24" t="n"/>
      <c r="F16" s="28">
        <f>IFERROR(INDEX(Ref_Alimentos!$C$2:$C$101,MATCH($B16,Ref_Alimentos!$A$2:$A$101,0)),"")</f>
        <v/>
      </c>
      <c r="G16" s="29">
        <f>IF($B15="","",IFERROR(INDEX(Ref_Alimentos!$R$2:$R$60,MATCH(IFERROR(INDEX(Ref_Alimentos!$U$2:$U$9,MATCH($C15,Ref_Alimentos!$T$2:$T$9,0)),"")&amp;"|"&amp;"Almoço",Ref_Alimentos!$Q$2:$Q$60,0)),""))</f>
        <v/>
      </c>
      <c r="H16" s="30">
        <f>IF($B16="","",IF($F16="Evitar","⚠ Conflito",IF(AND($F16="Moderar",SUMPRODUCT(($B$15:$B$19&lt;&gt;"")*(ROW($B$15:$B$19)&lt;&gt;ROW($B16))*(($F$15:$F$19="Moderar")+($F$15:$F$19="Evitar")))&gt;0),"⚠ Conflito","")))</f>
        <v/>
      </c>
    </row>
    <row r="17" ht="26" customHeight="1">
      <c r="A17" s="24" t="n">
        <v>3</v>
      </c>
      <c r="B17" s="25" t="n"/>
      <c r="C17" s="26">
        <f>IFERROR(INDEX(Ref_Alimentos!$B$2:$B$101,MATCH($B17,Ref_Alimentos!$A$2:$A$101,0)),"")</f>
        <v/>
      </c>
      <c r="D17" s="27">
        <f>IFERROR(INDEX(Ref_Alimentos!$D$2:$D$101,MATCH($B17,Ref_Alimentos!$A$2:$A$101,0)),"")</f>
        <v/>
      </c>
      <c r="E17" s="24" t="n"/>
      <c r="F17" s="28">
        <f>IFERROR(INDEX(Ref_Alimentos!$C$2:$C$101,MATCH($B17,Ref_Alimentos!$A$2:$A$101,0)),"")</f>
        <v/>
      </c>
      <c r="G17" s="29">
        <f>IF($B16="","",IFERROR(INDEX(Ref_Alimentos!$R$2:$R$60,MATCH(IFERROR(INDEX(Ref_Alimentos!$U$2:$U$9,MATCH($C16,Ref_Alimentos!$T$2:$T$9,0)),"")&amp;"|"&amp;"Almoço",Ref_Alimentos!$Q$2:$Q$60,0)),""))</f>
        <v/>
      </c>
      <c r="H17" s="30">
        <f>IF($B17="","",IF($F17="Evitar","⚠ Conflito",IF(AND($F17="Moderar",SUMPRODUCT(($B$15:$B$19&lt;&gt;"")*(ROW($B$15:$B$19)&lt;&gt;ROW($B17))*(($F$15:$F$19="Moderar")+($F$15:$F$19="Evitar")))&gt;0),"⚠ Conflito","")))</f>
        <v/>
      </c>
    </row>
    <row r="18" ht="26" customHeight="1">
      <c r="A18" s="24" t="n">
        <v>4</v>
      </c>
      <c r="B18" s="25" t="n"/>
      <c r="C18" s="26">
        <f>IFERROR(INDEX(Ref_Alimentos!$B$2:$B$101,MATCH($B18,Ref_Alimentos!$A$2:$A$101,0)),"")</f>
        <v/>
      </c>
      <c r="D18" s="27">
        <f>IFERROR(INDEX(Ref_Alimentos!$D$2:$D$101,MATCH($B18,Ref_Alimentos!$A$2:$A$101,0)),"")</f>
        <v/>
      </c>
      <c r="E18" s="24" t="n"/>
      <c r="F18" s="28">
        <f>IFERROR(INDEX(Ref_Alimentos!$C$2:$C$101,MATCH($B18,Ref_Alimentos!$A$2:$A$101,0)),"")</f>
        <v/>
      </c>
      <c r="G18" s="29">
        <f>IF($B17="","",IFERROR(INDEX(Ref_Alimentos!$R$2:$R$60,MATCH(IFERROR(INDEX(Ref_Alimentos!$U$2:$U$9,MATCH($C17,Ref_Alimentos!$T$2:$T$9,0)),"")&amp;"|"&amp;"Almoço",Ref_Alimentos!$Q$2:$Q$60,0)),""))</f>
        <v/>
      </c>
      <c r="H18" s="30">
        <f>IF($B18="","",IF($F18="Evitar","⚠ Conflito",IF(AND($F18="Moderar",SUMPRODUCT(($B$15:$B$19&lt;&gt;"")*(ROW($B$15:$B$19)&lt;&gt;ROW($B18))*(($F$15:$F$19="Moderar")+($F$15:$F$19="Evitar")))&gt;0),"⚠ Conflito","")))</f>
        <v/>
      </c>
    </row>
    <row r="19" ht="26" customHeight="1">
      <c r="A19" s="24" t="n">
        <v>5</v>
      </c>
      <c r="B19" s="25" t="n"/>
      <c r="C19" s="26">
        <f>IFERROR(INDEX(Ref_Alimentos!$B$2:$B$101,MATCH($B19,Ref_Alimentos!$A$2:$A$101,0)),"")</f>
        <v/>
      </c>
      <c r="D19" s="27">
        <f>IFERROR(INDEX(Ref_Alimentos!$D$2:$D$101,MATCH($B19,Ref_Alimentos!$A$2:$A$101,0)),"")</f>
        <v/>
      </c>
      <c r="E19" s="24" t="n"/>
      <c r="F19" s="28">
        <f>IFERROR(INDEX(Ref_Alimentos!$C$2:$C$101,MATCH($B19,Ref_Alimentos!$A$2:$A$101,0)),"")</f>
        <v/>
      </c>
      <c r="G19" s="29">
        <f>IF($B18="","",IFERROR(INDEX(Ref_Alimentos!$R$2:$R$60,MATCH(IFERROR(INDEX(Ref_Alimentos!$U$2:$U$9,MATCH($C18,Ref_Alimentos!$T$2:$T$9,0)),"")&amp;"|"&amp;"Almoço",Ref_Alimentos!$Q$2:$Q$60,0)),""))</f>
        <v/>
      </c>
      <c r="H19" s="30">
        <f>IF($B19="","",IF($F19="Evitar","⚠ Conflito",IF(AND($F19="Moderar",SUMPRODUCT(($B$15:$B$19&lt;&gt;"")*(ROW($B$15:$B$19)&lt;&gt;ROW($B19))*(($F$15:$F$19="Moderar")+($F$15:$F$19="Evitar")))&gt;0),"⚠ Conflito","")))</f>
        <v/>
      </c>
    </row>
    <row r="21" ht="20" customHeight="1">
      <c r="A21" s="22" t="inlineStr">
        <is>
          <t>LANCHE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 ht="30" customHeight="1">
      <c r="A22" s="23" t="inlineStr">
        <is>
          <t>Nº</t>
        </is>
      </c>
      <c r="B22" s="23" t="inlineStr">
        <is>
          <t>Alimento</t>
        </is>
      </c>
      <c r="C22" s="23" t="inlineStr">
        <is>
          <t>Categoria</t>
        </is>
      </c>
      <c r="D22" s="23" t="inlineStr">
        <is>
          <t>Porção sugerida</t>
        </is>
      </c>
      <c r="E22" s="23" t="inlineStr">
        <is>
          <t>Quantidade a comer</t>
        </is>
      </c>
      <c r="F22" s="23" t="inlineStr">
        <is>
          <t>Classificação</t>
        </is>
      </c>
      <c r="G22" s="23" t="inlineStr">
        <is>
          <t>Sugestão (com base no item anterior)</t>
        </is>
      </c>
      <c r="H22" s="23" t="inlineStr">
        <is>
          <t>Conflito</t>
        </is>
      </c>
    </row>
    <row r="23" ht="26" customHeight="1">
      <c r="A23" s="24" t="n">
        <v>1</v>
      </c>
      <c r="B23" s="25" t="n"/>
      <c r="C23" s="26">
        <f>IFERROR(INDEX(Ref_Alimentos!$B$2:$B$101,MATCH($B23,Ref_Alimentos!$A$2:$A$101,0)),"")</f>
        <v/>
      </c>
      <c r="D23" s="27">
        <f>IFERROR(INDEX(Ref_Alimentos!$D$2:$D$101,MATCH($B23,Ref_Alimentos!$A$2:$A$101,0)),"")</f>
        <v/>
      </c>
      <c r="E23" s="24" t="n"/>
      <c r="F23" s="28">
        <f>IFERROR(INDEX(Ref_Alimentos!$C$2:$C$101,MATCH($B23,Ref_Alimentos!$A$2:$A$101,0)),"")</f>
        <v/>
      </c>
      <c r="G23" s="29" t="inlineStr"/>
      <c r="H23" s="30">
        <f>IF($B23="","",IF($F23="Evitar","⚠ Conflito",IF(AND($F23="Moderar",SUMPRODUCT(($B$23:$B$27&lt;&gt;"")*(ROW($B$23:$B$27)&lt;&gt;ROW($B23))*(($F$23:$F$27="Moderar")+($F$23:$F$27="Evitar")))&gt;0),"⚠ Conflito","")))</f>
        <v/>
      </c>
    </row>
    <row r="24" ht="26" customHeight="1">
      <c r="A24" s="24" t="n">
        <v>2</v>
      </c>
      <c r="B24" s="25" t="n"/>
      <c r="C24" s="26">
        <f>IFERROR(INDEX(Ref_Alimentos!$B$2:$B$101,MATCH($B24,Ref_Alimentos!$A$2:$A$101,0)),"")</f>
        <v/>
      </c>
      <c r="D24" s="27">
        <f>IFERROR(INDEX(Ref_Alimentos!$D$2:$D$101,MATCH($B24,Ref_Alimentos!$A$2:$A$101,0)),"")</f>
        <v/>
      </c>
      <c r="E24" s="24" t="n"/>
      <c r="F24" s="28">
        <f>IFERROR(INDEX(Ref_Alimentos!$C$2:$C$101,MATCH($B24,Ref_Alimentos!$A$2:$A$101,0)),"")</f>
        <v/>
      </c>
      <c r="G24" s="29">
        <f>IF($B23="","",IFERROR(INDEX(Ref_Alimentos!$R$2:$R$60,MATCH(IFERROR(INDEX(Ref_Alimentos!$U$2:$U$9,MATCH($C23,Ref_Alimentos!$T$2:$T$9,0)),"")&amp;"|"&amp;"Lanche",Ref_Alimentos!$Q$2:$Q$60,0)),""))</f>
        <v/>
      </c>
      <c r="H24" s="30">
        <f>IF($B24="","",IF($F24="Evitar","⚠ Conflito",IF(AND($F24="Moderar",SUMPRODUCT(($B$23:$B$27&lt;&gt;"")*(ROW($B$23:$B$27)&lt;&gt;ROW($B24))*(($F$23:$F$27="Moderar")+($F$23:$F$27="Evitar")))&gt;0),"⚠ Conflito","")))</f>
        <v/>
      </c>
    </row>
    <row r="25" ht="26" customHeight="1">
      <c r="A25" s="24" t="n">
        <v>3</v>
      </c>
      <c r="B25" s="25" t="n"/>
      <c r="C25" s="26">
        <f>IFERROR(INDEX(Ref_Alimentos!$B$2:$B$101,MATCH($B25,Ref_Alimentos!$A$2:$A$101,0)),"")</f>
        <v/>
      </c>
      <c r="D25" s="27">
        <f>IFERROR(INDEX(Ref_Alimentos!$D$2:$D$101,MATCH($B25,Ref_Alimentos!$A$2:$A$101,0)),"")</f>
        <v/>
      </c>
      <c r="E25" s="24" t="n"/>
      <c r="F25" s="28">
        <f>IFERROR(INDEX(Ref_Alimentos!$C$2:$C$101,MATCH($B25,Ref_Alimentos!$A$2:$A$101,0)),"")</f>
        <v/>
      </c>
      <c r="G25" s="29">
        <f>IF($B24="","",IFERROR(INDEX(Ref_Alimentos!$R$2:$R$60,MATCH(IFERROR(INDEX(Ref_Alimentos!$U$2:$U$9,MATCH($C24,Ref_Alimentos!$T$2:$T$9,0)),"")&amp;"|"&amp;"Lanche",Ref_Alimentos!$Q$2:$Q$60,0)),""))</f>
        <v/>
      </c>
      <c r="H25" s="30">
        <f>IF($B25="","",IF($F25="Evitar","⚠ Conflito",IF(AND($F25="Moderar",SUMPRODUCT(($B$23:$B$27&lt;&gt;"")*(ROW($B$23:$B$27)&lt;&gt;ROW($B25))*(($F$23:$F$27="Moderar")+($F$23:$F$27="Evitar")))&gt;0),"⚠ Conflito","")))</f>
        <v/>
      </c>
    </row>
    <row r="26" ht="26" customHeight="1">
      <c r="A26" s="24" t="n">
        <v>4</v>
      </c>
      <c r="B26" s="25" t="n"/>
      <c r="C26" s="26">
        <f>IFERROR(INDEX(Ref_Alimentos!$B$2:$B$101,MATCH($B26,Ref_Alimentos!$A$2:$A$101,0)),"")</f>
        <v/>
      </c>
      <c r="D26" s="27">
        <f>IFERROR(INDEX(Ref_Alimentos!$D$2:$D$101,MATCH($B26,Ref_Alimentos!$A$2:$A$101,0)),"")</f>
        <v/>
      </c>
      <c r="E26" s="24" t="n"/>
      <c r="F26" s="28">
        <f>IFERROR(INDEX(Ref_Alimentos!$C$2:$C$101,MATCH($B26,Ref_Alimentos!$A$2:$A$101,0)),"")</f>
        <v/>
      </c>
      <c r="G26" s="29">
        <f>IF($B25="","",IFERROR(INDEX(Ref_Alimentos!$R$2:$R$60,MATCH(IFERROR(INDEX(Ref_Alimentos!$U$2:$U$9,MATCH($C25,Ref_Alimentos!$T$2:$T$9,0)),"")&amp;"|"&amp;"Lanche",Ref_Alimentos!$Q$2:$Q$60,0)),""))</f>
        <v/>
      </c>
      <c r="H26" s="30">
        <f>IF($B26="","",IF($F26="Evitar","⚠ Conflito",IF(AND($F26="Moderar",SUMPRODUCT(($B$23:$B$27&lt;&gt;"")*(ROW($B$23:$B$27)&lt;&gt;ROW($B26))*(($F$23:$F$27="Moderar")+($F$23:$F$27="Evitar")))&gt;0),"⚠ Conflito","")))</f>
        <v/>
      </c>
    </row>
    <row r="27" ht="26" customHeight="1">
      <c r="A27" s="24" t="n">
        <v>5</v>
      </c>
      <c r="B27" s="25" t="n"/>
      <c r="C27" s="26">
        <f>IFERROR(INDEX(Ref_Alimentos!$B$2:$B$101,MATCH($B27,Ref_Alimentos!$A$2:$A$101,0)),"")</f>
        <v/>
      </c>
      <c r="D27" s="27">
        <f>IFERROR(INDEX(Ref_Alimentos!$D$2:$D$101,MATCH($B27,Ref_Alimentos!$A$2:$A$101,0)),"")</f>
        <v/>
      </c>
      <c r="E27" s="24" t="n"/>
      <c r="F27" s="28">
        <f>IFERROR(INDEX(Ref_Alimentos!$C$2:$C$101,MATCH($B27,Ref_Alimentos!$A$2:$A$101,0)),"")</f>
        <v/>
      </c>
      <c r="G27" s="29">
        <f>IF($B26="","",IFERROR(INDEX(Ref_Alimentos!$R$2:$R$60,MATCH(IFERROR(INDEX(Ref_Alimentos!$U$2:$U$9,MATCH($C26,Ref_Alimentos!$T$2:$T$9,0)),"")&amp;"|"&amp;"Lanche",Ref_Alimentos!$Q$2:$Q$60,0)),""))</f>
        <v/>
      </c>
      <c r="H27" s="30">
        <f>IF($B27="","",IF($F27="Evitar","⚠ Conflito",IF(AND($F27="Moderar",SUMPRODUCT(($B$23:$B$27&lt;&gt;"")*(ROW($B$23:$B$27)&lt;&gt;ROW($B27))*(($F$23:$F$27="Moderar")+($F$23:$F$27="Evitar")))&gt;0),"⚠ Conflito","")))</f>
        <v/>
      </c>
    </row>
    <row r="29" ht="20" customHeight="1">
      <c r="A29" s="22" t="inlineStr">
        <is>
          <t>JANTAR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 ht="30" customHeight="1">
      <c r="A30" s="23" t="inlineStr">
        <is>
          <t>Nº</t>
        </is>
      </c>
      <c r="B30" s="23" t="inlineStr">
        <is>
          <t>Alimento</t>
        </is>
      </c>
      <c r="C30" s="23" t="inlineStr">
        <is>
          <t>Categoria</t>
        </is>
      </c>
      <c r="D30" s="23" t="inlineStr">
        <is>
          <t>Porção sugerida</t>
        </is>
      </c>
      <c r="E30" s="23" t="inlineStr">
        <is>
          <t>Quantidade a comer</t>
        </is>
      </c>
      <c r="F30" s="23" t="inlineStr">
        <is>
          <t>Classificação</t>
        </is>
      </c>
      <c r="G30" s="23" t="inlineStr">
        <is>
          <t>Sugestão (com base no item anterior)</t>
        </is>
      </c>
      <c r="H30" s="23" t="inlineStr">
        <is>
          <t>Conflito</t>
        </is>
      </c>
    </row>
    <row r="31" ht="26" customHeight="1">
      <c r="A31" s="24" t="n">
        <v>1</v>
      </c>
      <c r="B31" s="25" t="n"/>
      <c r="C31" s="26">
        <f>IFERROR(INDEX(Ref_Alimentos!$B$2:$B$101,MATCH($B31,Ref_Alimentos!$A$2:$A$101,0)),"")</f>
        <v/>
      </c>
      <c r="D31" s="27">
        <f>IFERROR(INDEX(Ref_Alimentos!$D$2:$D$101,MATCH($B31,Ref_Alimentos!$A$2:$A$101,0)),"")</f>
        <v/>
      </c>
      <c r="E31" s="24" t="n"/>
      <c r="F31" s="28">
        <f>IFERROR(INDEX(Ref_Alimentos!$C$2:$C$101,MATCH($B31,Ref_Alimentos!$A$2:$A$101,0)),"")</f>
        <v/>
      </c>
      <c r="G31" s="29" t="inlineStr"/>
      <c r="H31" s="30">
        <f>IF($B31="","",IF($F31="Evitar","⚠ Conflito",IF(AND($F31="Moderar",SUMPRODUCT(($B$31:$B$35&lt;&gt;"")*(ROW($B$31:$B$35)&lt;&gt;ROW($B31))*(($F$31:$F$35="Moderar")+($F$31:$F$35="Evitar")))&gt;0),"⚠ Conflito","")))</f>
        <v/>
      </c>
    </row>
    <row r="32" ht="26" customHeight="1">
      <c r="A32" s="24" t="n">
        <v>2</v>
      </c>
      <c r="B32" s="25" t="n"/>
      <c r="C32" s="26">
        <f>IFERROR(INDEX(Ref_Alimentos!$B$2:$B$101,MATCH($B32,Ref_Alimentos!$A$2:$A$101,0)),"")</f>
        <v/>
      </c>
      <c r="D32" s="27">
        <f>IFERROR(INDEX(Ref_Alimentos!$D$2:$D$101,MATCH($B32,Ref_Alimentos!$A$2:$A$101,0)),"")</f>
        <v/>
      </c>
      <c r="E32" s="24" t="n"/>
      <c r="F32" s="28">
        <f>IFERROR(INDEX(Ref_Alimentos!$C$2:$C$101,MATCH($B32,Ref_Alimentos!$A$2:$A$101,0)),"")</f>
        <v/>
      </c>
      <c r="G32" s="29">
        <f>IF($B31="","",IFERROR(INDEX(Ref_Alimentos!$R$2:$R$60,MATCH(IFERROR(INDEX(Ref_Alimentos!$U$2:$U$9,MATCH($C31,Ref_Alimentos!$T$2:$T$9,0)),"")&amp;"|"&amp;"Jantar",Ref_Alimentos!$Q$2:$Q$60,0)),""))</f>
        <v/>
      </c>
      <c r="H32" s="30">
        <f>IF($B32="","",IF($F32="Evitar","⚠ Conflito",IF(AND($F32="Moderar",SUMPRODUCT(($B$31:$B$35&lt;&gt;"")*(ROW($B$31:$B$35)&lt;&gt;ROW($B32))*(($F$31:$F$35="Moderar")+($F$31:$F$35="Evitar")))&gt;0),"⚠ Conflito","")))</f>
        <v/>
      </c>
    </row>
    <row r="33" ht="26" customHeight="1">
      <c r="A33" s="24" t="n">
        <v>3</v>
      </c>
      <c r="B33" s="25" t="n"/>
      <c r="C33" s="26">
        <f>IFERROR(INDEX(Ref_Alimentos!$B$2:$B$101,MATCH($B33,Ref_Alimentos!$A$2:$A$101,0)),"")</f>
        <v/>
      </c>
      <c r="D33" s="27">
        <f>IFERROR(INDEX(Ref_Alimentos!$D$2:$D$101,MATCH($B33,Ref_Alimentos!$A$2:$A$101,0)),"")</f>
        <v/>
      </c>
      <c r="E33" s="24" t="n"/>
      <c r="F33" s="28">
        <f>IFERROR(INDEX(Ref_Alimentos!$C$2:$C$101,MATCH($B33,Ref_Alimentos!$A$2:$A$101,0)),"")</f>
        <v/>
      </c>
      <c r="G33" s="29">
        <f>IF($B32="","",IFERROR(INDEX(Ref_Alimentos!$R$2:$R$60,MATCH(IFERROR(INDEX(Ref_Alimentos!$U$2:$U$9,MATCH($C32,Ref_Alimentos!$T$2:$T$9,0)),"")&amp;"|"&amp;"Jantar",Ref_Alimentos!$Q$2:$Q$60,0)),""))</f>
        <v/>
      </c>
      <c r="H33" s="30">
        <f>IF($B33="","",IF($F33="Evitar","⚠ Conflito",IF(AND($F33="Moderar",SUMPRODUCT(($B$31:$B$35&lt;&gt;"")*(ROW($B$31:$B$35)&lt;&gt;ROW($B33))*(($F$31:$F$35="Moderar")+($F$31:$F$35="Evitar")))&gt;0),"⚠ Conflito","")))</f>
        <v/>
      </c>
    </row>
    <row r="34" ht="26" customHeight="1">
      <c r="A34" s="24" t="n">
        <v>4</v>
      </c>
      <c r="B34" s="25" t="n"/>
      <c r="C34" s="26">
        <f>IFERROR(INDEX(Ref_Alimentos!$B$2:$B$101,MATCH($B34,Ref_Alimentos!$A$2:$A$101,0)),"")</f>
        <v/>
      </c>
      <c r="D34" s="27">
        <f>IFERROR(INDEX(Ref_Alimentos!$D$2:$D$101,MATCH($B34,Ref_Alimentos!$A$2:$A$101,0)),"")</f>
        <v/>
      </c>
      <c r="E34" s="24" t="n"/>
      <c r="F34" s="28">
        <f>IFERROR(INDEX(Ref_Alimentos!$C$2:$C$101,MATCH($B34,Ref_Alimentos!$A$2:$A$101,0)),"")</f>
        <v/>
      </c>
      <c r="G34" s="29">
        <f>IF($B33="","",IFERROR(INDEX(Ref_Alimentos!$R$2:$R$60,MATCH(IFERROR(INDEX(Ref_Alimentos!$U$2:$U$9,MATCH($C33,Ref_Alimentos!$T$2:$T$9,0)),"")&amp;"|"&amp;"Jantar",Ref_Alimentos!$Q$2:$Q$60,0)),""))</f>
        <v/>
      </c>
      <c r="H34" s="30">
        <f>IF($B34="","",IF($F34="Evitar","⚠ Conflito",IF(AND($F34="Moderar",SUMPRODUCT(($B$31:$B$35&lt;&gt;"")*(ROW($B$31:$B$35)&lt;&gt;ROW($B34))*(($F$31:$F$35="Moderar")+($F$31:$F$35="Evitar")))&gt;0),"⚠ Conflito","")))</f>
        <v/>
      </c>
    </row>
    <row r="35" ht="26" customHeight="1">
      <c r="A35" s="24" t="n">
        <v>5</v>
      </c>
      <c r="B35" s="25" t="n"/>
      <c r="C35" s="26">
        <f>IFERROR(INDEX(Ref_Alimentos!$B$2:$B$101,MATCH($B35,Ref_Alimentos!$A$2:$A$101,0)),"")</f>
        <v/>
      </c>
      <c r="D35" s="27">
        <f>IFERROR(INDEX(Ref_Alimentos!$D$2:$D$101,MATCH($B35,Ref_Alimentos!$A$2:$A$101,0)),"")</f>
        <v/>
      </c>
      <c r="E35" s="24" t="n"/>
      <c r="F35" s="28">
        <f>IFERROR(INDEX(Ref_Alimentos!$C$2:$C$101,MATCH($B35,Ref_Alimentos!$A$2:$A$101,0)),"")</f>
        <v/>
      </c>
      <c r="G35" s="29">
        <f>IF($B34="","",IFERROR(INDEX(Ref_Alimentos!$R$2:$R$60,MATCH(IFERROR(INDEX(Ref_Alimentos!$U$2:$U$9,MATCH($C34,Ref_Alimentos!$T$2:$T$9,0)),"")&amp;"|"&amp;"Jantar",Ref_Alimentos!$Q$2:$Q$60,0)),""))</f>
        <v/>
      </c>
      <c r="H35" s="30">
        <f>IF($B35="","",IF($F35="Evitar","⚠ Conflito",IF(AND($F35="Moderar",SUMPRODUCT(($B$31:$B$35&lt;&gt;"")*(ROW($B$31:$B$35)&lt;&gt;ROW($B35))*(($F$31:$F$35="Moderar")+($F$31:$F$35="Evitar")))&gt;0),"⚠ Conflito","")))</f>
        <v/>
      </c>
    </row>
    <row r="37" ht="44" customHeight="1">
      <c r="A37" s="31" t="inlineStr">
        <is>
          <t>Limitações conhecidas: a ordem do menu suspenso é fixa (Liberado &gt; Moderar &gt; Evitar), ela não se reordena sozinha conforme o item anterior — quem indica o que combina melhor é a coluna 'Sugestão'. A coluna 'Conflito' é uma aproximação (marca um item 'Evitar' sozinho, ou dois itens 'Moderar'/'Evitar' juntos na mesma refeição) — não é uma checagem real de interação entre os dois alimentos específicos.</t>
        </is>
      </c>
    </row>
  </sheetData>
  <mergeCells count="7">
    <mergeCell ref="A1:H1"/>
    <mergeCell ref="A21:H21"/>
    <mergeCell ref="A29:H29"/>
    <mergeCell ref="A2:H2"/>
    <mergeCell ref="A13:H13"/>
    <mergeCell ref="A5:H5"/>
    <mergeCell ref="A37:H37"/>
  </mergeCells>
  <conditionalFormatting sqref="F7:F11">
    <cfRule type="cellIs" priority="1" operator="equal" dxfId="0">
      <formula>"Liberado"</formula>
    </cfRule>
    <cfRule type="cellIs" priority="2" operator="equal" dxfId="1">
      <formula>"Moderar"</formula>
    </cfRule>
    <cfRule type="cellIs" priority="3" operator="equal" dxfId="2">
      <formula>"Evitar"</formula>
    </cfRule>
  </conditionalFormatting>
  <conditionalFormatting sqref="H7:H11">
    <cfRule type="cellIs" priority="4" operator="equal" dxfId="3">
      <formula>"⚠ Conflito"</formula>
    </cfRule>
  </conditionalFormatting>
  <conditionalFormatting sqref="F15:F19">
    <cfRule type="cellIs" priority="5" operator="equal" dxfId="0">
      <formula>"Liberado"</formula>
    </cfRule>
    <cfRule type="cellIs" priority="6" operator="equal" dxfId="1">
      <formula>"Moderar"</formula>
    </cfRule>
    <cfRule type="cellIs" priority="7" operator="equal" dxfId="2">
      <formula>"Evitar"</formula>
    </cfRule>
  </conditionalFormatting>
  <conditionalFormatting sqref="H15:H19">
    <cfRule type="cellIs" priority="8" operator="equal" dxfId="3">
      <formula>"⚠ Conflito"</formula>
    </cfRule>
  </conditionalFormatting>
  <conditionalFormatting sqref="F23:F27">
    <cfRule type="cellIs" priority="9" operator="equal" dxfId="0">
      <formula>"Liberado"</formula>
    </cfRule>
    <cfRule type="cellIs" priority="10" operator="equal" dxfId="1">
      <formula>"Moderar"</formula>
    </cfRule>
    <cfRule type="cellIs" priority="11" operator="equal" dxfId="2">
      <formula>"Evitar"</formula>
    </cfRule>
  </conditionalFormatting>
  <conditionalFormatting sqref="H23:H27">
    <cfRule type="cellIs" priority="12" operator="equal" dxfId="3">
      <formula>"⚠ Conflito"</formula>
    </cfRule>
  </conditionalFormatting>
  <conditionalFormatting sqref="F31:F35">
    <cfRule type="cellIs" priority="13" operator="equal" dxfId="0">
      <formula>"Liberado"</formula>
    </cfRule>
    <cfRule type="cellIs" priority="14" operator="equal" dxfId="1">
      <formula>"Moderar"</formula>
    </cfRule>
    <cfRule type="cellIs" priority="15" operator="equal" dxfId="2">
      <formula>"Evitar"</formula>
    </cfRule>
  </conditionalFormatting>
  <conditionalFormatting sqref="H31:H35">
    <cfRule type="cellIs" priority="16" operator="equal" dxfId="3">
      <formula>"⚠ Conflito"</formula>
    </cfRule>
  </conditionalFormatting>
  <dataValidations count="4">
    <dataValidation sqref="B7:B11" showDropDown="0" showInputMessage="1" showErrorMessage="1" allowBlank="1" errorTitle="Alimento fora da lista" error="Escolha um alimento da lista da coluna (ou deixe em branco)." promptTitle="Alimentos para Café da manhã" prompt="Lista filtrada para esta refeição, com os alimentos Liberados primeiro." type="list" errorStyle="warning">
      <formula1>=Lista_CafeDaManha</formula1>
    </dataValidation>
    <dataValidation sqref="B15:B19" showDropDown="0" showInputMessage="1" showErrorMessage="1" allowBlank="1" errorTitle="Alimento fora da lista" error="Escolha um alimento da lista da coluna (ou deixe em branco)." promptTitle="Alimentos para Almoço" prompt="Lista filtrada para esta refeição, com os alimentos Liberados primeiro." type="list" errorStyle="warning">
      <formula1>=Lista_Almoco</formula1>
    </dataValidation>
    <dataValidation sqref="B23:B27" showDropDown="0" showInputMessage="1" showErrorMessage="1" allowBlank="1" errorTitle="Alimento fora da lista" error="Escolha um alimento da lista da coluna (ou deixe em branco)." promptTitle="Alimentos para Lanche" prompt="Lista filtrada para esta refeição, com os alimentos Liberados primeiro." type="list" errorStyle="warning">
      <formula1>=Lista_Lanche</formula1>
    </dataValidation>
    <dataValidation sqref="B31:B35" showDropDown="0" showInputMessage="1" showErrorMessage="1" allowBlank="1" errorTitle="Alimento fora da lista" error="Escolha um alimento da lista da coluna (ou deixe em branco)." promptTitle="Alimentos para Jantar" prompt="Lista filtrada para esta refeição, com os alimentos Liberados primeiro." type="list" errorStyle="warning">
      <formula1>=Lista_Jantar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38" customWidth="1" min="3" max="3"/>
    <col width="24" customWidth="1" min="4" max="4"/>
    <col width="13" customWidth="1" min="5" max="5"/>
    <col width="50" customWidth="1" min="6" max="6"/>
  </cols>
  <sheetData>
    <row r="1" ht="26" customHeight="1">
      <c r="A1" s="1" t="inlineStr">
        <is>
          <t>Fontes e Referências — de onde vieram as informações médicas</t>
        </is>
      </c>
    </row>
    <row r="2" ht="56" customHeight="1">
      <c r="A2" s="16" t="inlineStr">
        <is>
          <t>Pesquisa feita em 04/09/2026, priorizando bulas oficiais (Anvisa), estudos revisados por pares (PubMed/PMC), órgãos de saúde do governo (NIH) e diretrizes de sociedades médicas (SBC, AHA, ACC/ESC, KDIGO, ESUR, ESVS, ADA/SBD). A coluna 'Área' diz se a fonte é sobre alimentação/interação com alimento ou sobre o quadro clínico em geral. Nenhuma destas fontes substitui a avaliação do seu médico — use como ponto de partida para perguntar e confirmar na consulta. Clique no link da coluna 'Fonte' para abrir a página original.</t>
        </is>
      </c>
    </row>
    <row r="3">
      <c r="A3" s="2" t="inlineStr">
        <is>
          <t>Nº</t>
        </is>
      </c>
      <c r="B3" s="2" t="inlineStr">
        <is>
          <t>Afirmação que a fonte sustenta</t>
        </is>
      </c>
      <c r="C3" s="2" t="inlineStr">
        <is>
          <t>Fonte</t>
        </is>
      </c>
      <c r="D3" s="2" t="inlineStr">
        <is>
          <t>Tipo de fonte</t>
        </is>
      </c>
      <c r="E3" s="2" t="inlineStr">
        <is>
          <t>Área</t>
        </is>
      </c>
      <c r="F3" s="2" t="inlineStr">
        <is>
          <t>URL completa</t>
        </is>
      </c>
    </row>
    <row r="4" ht="44" customHeight="1">
      <c r="A4" s="32" t="n">
        <v>1</v>
      </c>
      <c r="B4" s="33" t="inlineStr">
        <is>
          <t>Suco de toranja em quantidade alta quase dobra o nível de Ticagrelor no sangue e aumenta seu efeito antiagregante</t>
        </is>
      </c>
      <c r="C4" s="34" t="inlineStr">
        <is>
          <t>Holmberg et al., 2013, Br J Clin Pharmacol (PubMed)</t>
        </is>
      </c>
      <c r="D4" s="33" t="inlineStr">
        <is>
          <t>Estudo clínico revisado por pares</t>
        </is>
      </c>
      <c r="E4" s="32" t="inlineStr">
        <is>
          <t>Alimentação</t>
        </is>
      </c>
      <c r="F4" s="35" t="inlineStr">
        <is>
          <t>https://pubmed.ncbi.nlm.nih.gov/23126367/</t>
        </is>
      </c>
    </row>
    <row r="5" ht="44" customHeight="1">
      <c r="A5" s="32" t="n">
        <v>2</v>
      </c>
      <c r="B5" s="33" t="inlineStr">
        <is>
          <t>Bula brasileira do Brilinta (Ticagrelor) cita esse estudo e orienta evitar suco de toranja em grande quantidade</t>
        </is>
      </c>
      <c r="C5" s="34" t="inlineStr">
        <is>
          <t>Bula profissional Brilinta, AstraZeneca do Brasil (aprovada pela Anvisa)</t>
        </is>
      </c>
      <c r="D5" s="33" t="inlineStr">
        <is>
          <t>Bula oficial (Anvisa)</t>
        </is>
      </c>
      <c r="E5" s="32" t="inlineStr">
        <is>
          <t>Alimentação</t>
        </is>
      </c>
      <c r="F5" s="35" t="inlineStr">
        <is>
          <t>https://www.azmed.com.br/content/dam/multibrand/br/pt/azmed-2022/home/bulas-profissionais/bulas/Brilinta_Bula_Profissional.pdf</t>
        </is>
      </c>
    </row>
    <row r="6" ht="44" customHeight="1">
      <c r="A6" s="32" t="n">
        <v>3</v>
      </c>
      <c r="B6" s="33" t="inlineStr">
        <is>
          <t>Enalapril (IECA) + sal light/suplemento de potássio aumenta risco de hipercalemia</t>
        </is>
      </c>
      <c r="C6" s="34" t="inlineStr">
        <is>
          <t>StatPearls (NCBI Bookshelf), "Enalapril"</t>
        </is>
      </c>
      <c r="D6" s="33" t="inlineStr">
        <is>
          <t>Referência clínica revisada por pares</t>
        </is>
      </c>
      <c r="E6" s="32" t="inlineStr">
        <is>
          <t>Alimentação</t>
        </is>
      </c>
      <c r="F6" s="35" t="inlineStr">
        <is>
          <t>https://www.ncbi.nlm.nih.gov/books/NBK557708/</t>
        </is>
      </c>
    </row>
    <row r="7" ht="44" customHeight="1">
      <c r="A7" s="32" t="n">
        <v>4</v>
      </c>
      <c r="B7" s="33" t="inlineStr">
        <is>
          <t>Álcool combinado com Aspirina aumenta o risco de sangramento gastrointestinal alto</t>
        </is>
      </c>
      <c r="C7" s="34" t="inlineStr">
        <is>
          <t>Kaufman et al., 1999, Ann Epidemiol (PubMed)</t>
        </is>
      </c>
      <c r="D7" s="33" t="inlineStr">
        <is>
          <t>Estudo epidemiológico revisado por pares</t>
        </is>
      </c>
      <c r="E7" s="32" t="inlineStr">
        <is>
          <t>Alimentação</t>
        </is>
      </c>
      <c r="F7" s="35" t="inlineStr">
        <is>
          <t>https://pubmed.ncbi.nlm.nih.gov/10566713/</t>
        </is>
      </c>
    </row>
    <row r="8" ht="44" customHeight="1">
      <c r="A8" s="32" t="n">
        <v>5</v>
      </c>
      <c r="B8" s="33" t="inlineStr">
        <is>
          <t>Arroz de levedura vermelha (red yeast rice) pode causar os mesmos efeitos colaterais e interações de uma estatina</t>
        </is>
      </c>
      <c r="C8" s="34" t="inlineStr">
        <is>
          <t>NIH — National Center for Complementary and Integrative Health</t>
        </is>
      </c>
      <c r="D8" s="33" t="inlineStr">
        <is>
          <t>Órgão oficial do governo dos EUA (NIH)</t>
        </is>
      </c>
      <c r="E8" s="32" t="inlineStr">
        <is>
          <t>Alimentação</t>
        </is>
      </c>
      <c r="F8" s="35" t="inlineStr">
        <is>
          <t>https://www.nccih.nih.gov/health/red-yeast-rice</t>
        </is>
      </c>
    </row>
    <row r="9" ht="44" customHeight="1">
      <c r="A9" s="32" t="n">
        <v>6</v>
      </c>
      <c r="B9" s="33" t="inlineStr">
        <is>
          <t>Rosuvastatina não tem interação relevante com toranja (via CYP2C9, diferente da via CYP3A4 usada pelo Ticagrelor)</t>
        </is>
      </c>
      <c r="C9" s="34" t="inlineStr">
        <is>
          <t>Bailey DG et al., 2013, CMAJ, "Grapefruit-medication interactions"</t>
        </is>
      </c>
      <c r="D9" s="33" t="inlineStr">
        <is>
          <t>Revisão científica revisada por pares</t>
        </is>
      </c>
      <c r="E9" s="32" t="inlineStr">
        <is>
          <t>Alimentação</t>
        </is>
      </c>
      <c r="F9" s="35" t="inlineStr">
        <is>
          <t>https://pmc.ncbi.nlm.nih.gov/articles/PMC3589309/</t>
        </is>
      </c>
    </row>
    <row r="10" ht="44" customHeight="1">
      <c r="A10" s="32" t="n">
        <v>7</v>
      </c>
      <c r="B10" s="33" t="inlineStr">
        <is>
          <t>Duração de 12 meses de dupla antiagregação (Aspirina + Ticagrelor) após stent em síndrome coronariana aguda</t>
        </is>
      </c>
      <c r="C10" s="34" t="inlineStr">
        <is>
          <t>2016 ACC/AHA Guideline Focused Update on DAPT; reafirmado na diretriz ACS 2025 (JACC)</t>
        </is>
      </c>
      <c r="D10" s="33" t="inlineStr">
        <is>
          <t>Diretriz de sociedades médicas (ACC/AHA)</t>
        </is>
      </c>
      <c r="E10" s="32" t="inlineStr">
        <is>
          <t>Alimentação</t>
        </is>
      </c>
      <c r="F10" s="35" t="inlineStr">
        <is>
          <t>https://www.acc.org/latest-in-cardiology/ten-points-to-remember/2016/03/25/14/56/2016-acc-aha-guideline-focused-update-on-dapt</t>
        </is>
      </c>
    </row>
    <row r="11" ht="44" customHeight="1">
      <c r="A11" s="32" t="n">
        <v>8</v>
      </c>
      <c r="B11" s="33" t="inlineStr">
        <is>
          <t>Metas de LDL pós-infarto: &lt;50 mg/dL (SBC 2017); &lt;40 mg/dL na categoria "risco extremo" (SBC 2025, com critérios adicionais); &lt;55 mg/dL (ESC/EAS 2019 e ACC/AHA, risco muito alto)</t>
        </is>
      </c>
      <c r="C11" s="34" t="inlineStr">
        <is>
          <t>Diretriz Brasileira de Dislipidemias e Prevenção da Aterosclerose 2025 (SBC), Arq Bras Cardiol</t>
        </is>
      </c>
      <c r="D11" s="33" t="inlineStr">
        <is>
          <t>Diretriz de sociedade médica (SBC)</t>
        </is>
      </c>
      <c r="E11" s="32" t="inlineStr">
        <is>
          <t>Alimentação</t>
        </is>
      </c>
      <c r="F11" s="35" t="inlineStr">
        <is>
          <t>https://www.scielo.br/j/abc/a/tRJrwGzKX6C4GvMqdJpZcGk/?lang=pt</t>
        </is>
      </c>
    </row>
    <row r="12" ht="44" customHeight="1">
      <c r="A12" s="32" t="n">
        <v>9</v>
      </c>
      <c r="B12" s="33" t="inlineStr">
        <is>
          <t>Diretriz alimentar cardioprotetora: sódio controlado, gordura saturada &lt;6% das calorias, padrão Mediterrâneo/DASH</t>
        </is>
      </c>
      <c r="C12" s="34" t="inlineStr">
        <is>
          <t>American Heart Association — AHA Diet and Lifestyle Recommendations / 2026 Dietary Guidance to Improve Cardiovascular Health (Circulation)</t>
        </is>
      </c>
      <c r="D12" s="33" t="inlineStr">
        <is>
          <t>Diretriz de sociedade médica (AHA)</t>
        </is>
      </c>
      <c r="E12" s="32" t="inlineStr">
        <is>
          <t>Alimentação</t>
        </is>
      </c>
      <c r="F12" s="35" t="inlineStr">
        <is>
          <t>https://www.heart.org/en/healthy-living/healthy-eating/eat-smart/nutrition-basics/aha-diet-and-lifestyle-recommendations</t>
        </is>
      </c>
    </row>
    <row r="13" ht="44" customHeight="1">
      <c r="A13" s="32" t="n">
        <v>10</v>
      </c>
      <c r="B13" s="33" t="inlineStr">
        <is>
          <t>No Brasil, a Dieta Cardioprotetora Brasileira (DICA Br) aplica essas mesmas recomendações a alimentos típicos brasileiros</t>
        </is>
      </c>
      <c r="C13" s="34" t="inlineStr">
        <is>
          <t>I Diretriz Brasileira de Prevenção Cardiovascular (SBC), Arq Bras Cardiol</t>
        </is>
      </c>
      <c r="D13" s="33" t="inlineStr">
        <is>
          <t>Diretriz de sociedade médica (SBC)</t>
        </is>
      </c>
      <c r="E13" s="32" t="inlineStr">
        <is>
          <t>Alimentação</t>
        </is>
      </c>
      <c r="F13" s="35" t="inlineStr">
        <is>
          <t>https://www.scielo.br/j/abc/a/X94tMKwdnBjkCzVKpXwBqmD/?lang=pt</t>
        </is>
      </c>
    </row>
    <row r="14" ht="44" customHeight="1">
      <c r="A14" s="32" t="n">
        <v>11</v>
      </c>
      <c r="B14" s="33" t="inlineStr">
        <is>
          <t>Critério objetivo de Lesão Renal Aguda (LRA) estágio 1: creatinina sobe ≥0,3 mg/dL em 48h</t>
        </is>
      </c>
      <c r="C14" s="34" t="inlineStr">
        <is>
          <t>KDIGO — Clinical Practice Guideline for Acute Kidney Injury, 2012</t>
        </is>
      </c>
      <c r="D14" s="33" t="inlineStr">
        <is>
          <t>Diretriz de sociedade médica (KDIGO)</t>
        </is>
      </c>
      <c r="E14" s="32" t="inlineStr">
        <is>
          <t>Clínico geral</t>
        </is>
      </c>
      <c r="F14" s="35" t="inlineStr">
        <is>
          <t>https://kdigo.org/wp-content/uploads/2016/10/KDIGO-2012-AKI-Guideline-English.pdf</t>
        </is>
      </c>
    </row>
    <row r="15" ht="44" customHeight="1">
      <c r="A15" s="32" t="n">
        <v>12</v>
      </c>
      <c r="B15" s="33" t="inlineStr">
        <is>
          <t>Exame padrão para proteinúria é a relação albumina/creatinina urinária (ACR/RAC), categorias A1/A2/A3</t>
        </is>
      </c>
      <c r="C15" s="34" t="inlineStr">
        <is>
          <t>KDIGO — Clinical Practice Guideline for CKD, 2012 (categorias mantidas na atualização 2024)</t>
        </is>
      </c>
      <c r="D15" s="33" t="inlineStr">
        <is>
          <t>Diretriz de sociedade médica (KDIGO)</t>
        </is>
      </c>
      <c r="E15" s="32" t="inlineStr">
        <is>
          <t>Clínico geral</t>
        </is>
      </c>
      <c r="F15" s="35" t="inlineStr">
        <is>
          <t>https://kdigo.org/wp-content/uploads/2017/02/KDIGO_2012_CKD_GL.pdf</t>
        </is>
      </c>
    </row>
    <row r="16" ht="44" customHeight="1">
      <c r="A16" s="32" t="n">
        <v>13</v>
      </c>
      <c r="B16" s="33" t="inlineStr">
        <is>
          <t>Múltiplas exposições a contraste em dias próximos são fator de risco para lesão renal por contraste, com pico em 3-5 dias e resolução em 7-14 dias</t>
        </is>
      </c>
      <c r="C16" s="34" t="inlineStr">
        <is>
          <t>ESUR — Post-contrast acute kidney injury, Guidelines v10.0, 2018</t>
        </is>
      </c>
      <c r="D16" s="33" t="inlineStr">
        <is>
          <t>Diretriz de sociedade médica (ESUR)</t>
        </is>
      </c>
      <c r="E16" s="32" t="inlineStr">
        <is>
          <t>Clínico geral</t>
        </is>
      </c>
      <c r="F16" s="35" t="inlineStr">
        <is>
          <t>https://www.esur.org/wp-content/uploads/2022/03/ESUR-Guidelines-10_0-Final-Version.pdf</t>
        </is>
      </c>
    </row>
    <row r="17" ht="44" customHeight="1">
      <c r="A17" s="32" t="n">
        <v>14</v>
      </c>
      <c r="B17" s="33" t="inlineStr">
        <is>
          <t>Definição de infarto periprocedimento (tipo 4a): troponina &gt;5x o limite superior + evidência de nova isquemia</t>
        </is>
      </c>
      <c r="C17" s="34" t="inlineStr">
        <is>
          <t>Thygesen K, Alpert JS et al. — Fourth Universal Definition of Myocardial Infarction, 2018</t>
        </is>
      </c>
      <c r="D17" s="33" t="inlineStr">
        <is>
          <t>Documento conjunto de sociedades médicas (ESC/ACC/AHA/WHF)</t>
        </is>
      </c>
      <c r="E17" s="32" t="inlineStr">
        <is>
          <t>Clínico geral</t>
        </is>
      </c>
      <c r="F17" s="35" t="inlineStr">
        <is>
          <t>https://www.ahajournals.org/doi/10.1161/CIR.0000000000000617</t>
        </is>
      </c>
    </row>
    <row r="18" ht="44" customHeight="1">
      <c r="A18" s="32" t="n">
        <v>15</v>
      </c>
      <c r="B18" s="33" t="inlineStr">
        <is>
          <t>Limiares de segurança para manter um IECA (Enalapril): potássio até 5,5 mmol/L e creatinina com alta até 50% (abaixo de 3 mg/dL) são toleráveis; reexame em 1-2 semanas</t>
        </is>
      </c>
      <c r="C18" s="34" t="inlineStr">
        <is>
          <t>ESC — Guidelines for the diagnosis and treatment of acute and chronic heart failure, 2021</t>
        </is>
      </c>
      <c r="D18" s="33" t="inlineStr">
        <is>
          <t>Diretriz de sociedade médica (ESC)</t>
        </is>
      </c>
      <c r="E18" s="32" t="inlineStr">
        <is>
          <t>Clínico geral</t>
        </is>
      </c>
      <c r="F18" s="35" t="inlineStr">
        <is>
          <t>https://academic.oup.com/eurheartj/article/42/36/3599/6358045</t>
        </is>
      </c>
    </row>
    <row r="19" ht="44" customHeight="1">
      <c r="A19" s="32" t="n">
        <v>16</v>
      </c>
      <c r="B19" s="33" t="inlineStr">
        <is>
          <t>Reforço da duração de 12 meses de dupla antiagregação após síndrome coronariana aguda</t>
        </is>
      </c>
      <c r="C19" s="34" t="inlineStr">
        <is>
          <t>ESC — Guidelines for the management of acute coronary syndromes, 2023</t>
        </is>
      </c>
      <c r="D19" s="33" t="inlineStr">
        <is>
          <t>Diretriz de sociedade médica (ESC)</t>
        </is>
      </c>
      <c r="E19" s="32" t="inlineStr">
        <is>
          <t>Clínico geral</t>
        </is>
      </c>
      <c r="F19" s="35" t="inlineStr">
        <is>
          <t>https://academic.oup.com/eurheartj/article/45/14/1193/7516285</t>
        </is>
      </c>
    </row>
    <row r="20" ht="44" customHeight="1">
      <c r="A20" s="32" t="n">
        <v>17</v>
      </c>
      <c r="B20" s="33" t="inlineStr">
        <is>
          <t>Encaminhamento para reabilitação cardíaca antes da alta é recomendação Classe 1 (a mais forte) após síndrome coronariana aguda</t>
        </is>
      </c>
      <c r="C20" s="34" t="inlineStr">
        <is>
          <t>ACC/AHA/ACEP/NAEMSP/SCAI — Guideline for the Management of Patients With Acute Coronary Syndromes, 2025</t>
        </is>
      </c>
      <c r="D20" s="33" t="inlineStr">
        <is>
          <t>Diretriz de sociedades médicas (ACC/AHA e outras)</t>
        </is>
      </c>
      <c r="E20" s="32" t="inlineStr">
        <is>
          <t>Clínico geral</t>
        </is>
      </c>
      <c r="F20" s="35" t="inlineStr">
        <is>
          <t>https://www.ahajournals.org/doi/10.1161/CIR.0000000000001309</t>
        </is>
      </c>
    </row>
    <row r="21" ht="44" customHeight="1">
      <c r="A21" s="32" t="n">
        <v>18</v>
      </c>
      <c r="B21" s="33" t="inlineStr">
        <is>
          <t>Estudo que sustenta a combinação estatina + ezetimiba para reduzir LDL após síndrome coronariana aguda (IMPROVE-IT)</t>
        </is>
      </c>
      <c r="C21" s="34" t="inlineStr">
        <is>
          <t>Cannon CP et al. — Ezetimibe Added to Statin Therapy after Acute Coronary Syndromes, N Engl J Med 2015</t>
        </is>
      </c>
      <c r="D21" s="33" t="inlineStr">
        <is>
          <t>Estudo clínico revisado por pares</t>
        </is>
      </c>
      <c r="E21" s="32" t="inlineStr">
        <is>
          <t>Alimentação</t>
        </is>
      </c>
      <c r="F21" s="35" t="inlineStr">
        <is>
          <t>https://www.nejm.org/doi/full/10.1056/NEJMoa1410489</t>
        </is>
      </c>
    </row>
    <row r="22" ht="44" customHeight="1">
      <c r="A22" s="32" t="n">
        <v>19</v>
      </c>
      <c r="B22" s="33" t="inlineStr">
        <is>
          <t>HbA1c ≥6,5% sugere diabetes prévio; abaixo de 5,7% (caso do paciente) é consistente com hiperglicemia de estresse, não diabetes</t>
        </is>
      </c>
      <c r="C22" s="34" t="inlineStr">
        <is>
          <t>American Diabetes Association — Standards of Care in Diabetes, edições 2024-2026</t>
        </is>
      </c>
      <c r="D22" s="33" t="inlineStr">
        <is>
          <t>Diretriz de sociedade médica (ADA)</t>
        </is>
      </c>
      <c r="E22" s="32" t="inlineStr">
        <is>
          <t>Clínico geral</t>
        </is>
      </c>
      <c r="F22" s="35" t="inlineStr">
        <is>
          <t>https://diabetesjournals.org/care/article/49/Supplement_1/S339/163925/16-Diabetes-Care-in-the-Hospital-Standards-of-Care</t>
        </is>
      </c>
    </row>
    <row r="23" ht="44" customHeight="1">
      <c r="A23" s="32" t="n">
        <v>20</v>
      </c>
      <c r="B23" s="33" t="inlineStr">
        <is>
          <t>Até 60% dos pacientes com hiperglicemia de estresse na internação desenvolvem diabetes em 6-12 meses</t>
        </is>
      </c>
      <c r="C23" s="34" t="inlineStr">
        <is>
          <t>Sociedade Brasileira de Diabetes — Hiperglicemia Hospitalar no Paciente Não-Crítico</t>
        </is>
      </c>
      <c r="D23" s="33" t="inlineStr">
        <is>
          <t>Diretriz de sociedade médica (SBD)</t>
        </is>
      </c>
      <c r="E23" s="32" t="inlineStr">
        <is>
          <t>Clínico geral</t>
        </is>
      </c>
      <c r="F23" s="35" t="inlineStr">
        <is>
          <t>https://diretriz.diabetes.org.br/hiperglicemia-hospitalar-em-paciente-nao-critico/</t>
        </is>
      </c>
    </row>
    <row r="24" ht="44" customHeight="1">
      <c r="A24" s="32" t="n">
        <v>21</v>
      </c>
      <c r="B24" s="33" t="inlineStr">
        <is>
          <t>Placa carotídea com estenose abaixo de 50% é tratada de forma conservadora (antiagregante, estatina, controle de pressão), sem indicação de cirurgia</t>
        </is>
      </c>
      <c r="C24" s="34" t="inlineStr">
        <is>
          <t>ESC/ESVS — Guidelines on Peripheral Arterial Diseases (2017/2018) e atualização sobre doença carotídea/vertebral (2023)</t>
        </is>
      </c>
      <c r="D24" s="33" t="inlineStr">
        <is>
          <t>Diretriz de sociedade médica (ESC/ESVS)</t>
        </is>
      </c>
      <c r="E24" s="32" t="inlineStr">
        <is>
          <t>Clínico geral</t>
        </is>
      </c>
      <c r="F24" s="35" t="inlineStr">
        <is>
          <t>https://academic.oup.com/eurheartj/article/39/9/763/4095038</t>
        </is>
      </c>
    </row>
    <row r="25" ht="44" customHeight="1">
      <c r="A25" s="32" t="n">
        <v>22</v>
      </c>
      <c r="B25" s="33" t="inlineStr">
        <is>
          <t>Mesma conduta conservadora para placa carotídea leve, do lado da prevenção de AVC</t>
        </is>
      </c>
      <c r="C25" s="34" t="inlineStr">
        <is>
          <t>AHA/ASA — Guideline for the Prevention of Stroke in Patients With Stroke and TIA, 2021</t>
        </is>
      </c>
      <c r="D25" s="33" t="inlineStr">
        <is>
          <t>Diretriz de sociedade médica (AHA/ASA)</t>
        </is>
      </c>
      <c r="E25" s="32" t="inlineStr">
        <is>
          <t>Clínico geral</t>
        </is>
      </c>
      <c r="F25" s="35" t="inlineStr">
        <is>
          <t>https://www.ahajournals.org/doi/10.1161/STR.0000000000000375</t>
        </is>
      </c>
    </row>
    <row r="27" ht="24" customHeight="1">
      <c r="A27" s="16" t="inlineStr">
        <is>
          <t>Lista completa com os mesmos links (mais fácil de clicar em Markdown) também em referencia/historico-tratamento.md, seção 'Referências médicas'.</t>
        </is>
      </c>
    </row>
  </sheetData>
  <mergeCells count="3">
    <mergeCell ref="A2:F2"/>
    <mergeCell ref="A1:F1"/>
    <mergeCell ref="A27:F27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Alimento</t>
        </is>
      </c>
      <c r="B1" t="inlineStr">
        <is>
          <t>Categoria</t>
        </is>
      </c>
      <c r="C1" t="inlineStr">
        <is>
          <t>Classificação</t>
        </is>
      </c>
      <c r="D1" t="inlineStr">
        <is>
          <t>Porção</t>
        </is>
      </c>
      <c r="E1" t="inlineStr">
        <is>
          <t>Frequência</t>
        </is>
      </c>
      <c r="F1" t="inlineStr">
        <is>
          <t>Observação</t>
        </is>
      </c>
      <c r="G1" t="inlineStr">
        <is>
          <t>Café da manhã</t>
        </is>
      </c>
      <c r="H1" t="inlineStr">
        <is>
          <t>Almoço</t>
        </is>
      </c>
      <c r="I1" t="inlineStr">
        <is>
          <t>Lanche</t>
        </is>
      </c>
      <c r="J1" t="inlineStr">
        <is>
          <t>Jantar</t>
        </is>
      </c>
      <c r="L1" t="inlineStr">
        <is>
          <t>Lista — Café da manhã</t>
        </is>
      </c>
      <c r="M1" t="inlineStr">
        <is>
          <t>Lista — Almoço</t>
        </is>
      </c>
      <c r="N1" t="inlineStr">
        <is>
          <t>Lista — Lanche</t>
        </is>
      </c>
      <c r="O1" t="inlineStr">
        <is>
          <t>Lista — Jantar</t>
        </is>
      </c>
      <c r="Q1" t="inlineStr">
        <is>
          <t>Chave (Categoria|Refeição)</t>
        </is>
      </c>
      <c r="R1" t="inlineStr">
        <is>
          <t>Alimento em destaque</t>
        </is>
      </c>
      <c r="T1" t="inlineStr">
        <is>
          <t>Categoria escolhida</t>
        </is>
      </c>
      <c r="U1" t="inlineStr">
        <is>
          <t>Categoria sugerida</t>
        </is>
      </c>
    </row>
    <row r="2">
      <c r="A2" t="inlineStr">
        <is>
          <t>Maçã com casca</t>
        </is>
      </c>
      <c r="B2" t="inlineStr">
        <is>
          <t>Frutas</t>
        </is>
      </c>
      <c r="C2" t="inlineStr">
        <is>
          <t>Liberado</t>
        </is>
      </c>
      <c r="D2" t="inlineStr">
        <is>
          <t>1 unidade</t>
        </is>
      </c>
      <c r="E2" t="inlineStr">
        <is>
          <t>1x/dia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L2" t="inlineStr">
        <is>
          <t>Maçã com casca</t>
        </is>
      </c>
      <c r="M2" t="inlineStr">
        <is>
          <t>Arroz integral</t>
        </is>
      </c>
      <c r="N2" t="inlineStr">
        <is>
          <t>Maçã com casca</t>
        </is>
      </c>
      <c r="O2" t="inlineStr">
        <is>
          <t>Arroz integral</t>
        </is>
      </c>
      <c r="Q2" t="inlineStr">
        <is>
          <t>Frutas|Café da manhã</t>
        </is>
      </c>
      <c r="R2" t="inlineStr">
        <is>
          <t>Maçã com casca</t>
        </is>
      </c>
      <c r="T2" t="inlineStr">
        <is>
          <t>Laticínios</t>
        </is>
      </c>
      <c r="U2" t="inlineStr">
        <is>
          <t>Grãos e Cereais</t>
        </is>
      </c>
    </row>
    <row r="3">
      <c r="A3" t="inlineStr">
        <is>
          <t>Banana</t>
        </is>
      </c>
      <c r="B3" t="inlineStr">
        <is>
          <t>Frutas</t>
        </is>
      </c>
      <c r="C3" t="inlineStr">
        <is>
          <t>Liberado</t>
        </is>
      </c>
      <c r="D3" t="inlineStr">
        <is>
          <t>1 unidade</t>
        </is>
      </c>
      <c r="E3" t="inlineStr">
        <is>
          <t>1x/dia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L3" t="inlineStr">
        <is>
          <t>Banana</t>
        </is>
      </c>
      <c r="M3" t="inlineStr">
        <is>
          <t>Peixe</t>
        </is>
      </c>
      <c r="N3" t="inlineStr">
        <is>
          <t>Banana</t>
        </is>
      </c>
      <c r="O3" t="inlineStr">
        <is>
          <t>Peixe</t>
        </is>
      </c>
      <c r="Q3" t="inlineStr">
        <is>
          <t>Grãos e Cereais|Café da manhã</t>
        </is>
      </c>
      <c r="R3" t="inlineStr">
        <is>
          <t>Aveia</t>
        </is>
      </c>
      <c r="T3" t="inlineStr">
        <is>
          <t>Grãos e Cereais</t>
        </is>
      </c>
      <c r="U3" t="inlineStr">
        <is>
          <t>Laticínios</t>
        </is>
      </c>
    </row>
    <row r="4">
      <c r="A4" t="inlineStr">
        <is>
          <t>Uva</t>
        </is>
      </c>
      <c r="B4" t="inlineStr">
        <is>
          <t>Frutas</t>
        </is>
      </c>
      <c r="C4" t="inlineStr">
        <is>
          <t>Moderar</t>
        </is>
      </c>
      <c r="D4" t="inlineStr">
        <is>
          <t>200 g</t>
        </is>
      </c>
      <c r="E4" t="inlineStr">
        <is>
          <t>1x/semana</t>
        </is>
      </c>
      <c r="F4" t="inlineStr">
        <is>
          <t>Mais açúcar que outras frutas</t>
        </is>
      </c>
      <c r="G4" t="inlineStr">
        <is>
          <t>X</t>
        </is>
      </c>
      <c r="H4" t="inlineStr"/>
      <c r="I4" t="inlineStr">
        <is>
          <t>X</t>
        </is>
      </c>
      <c r="J4" t="inlineStr"/>
      <c r="L4" t="inlineStr">
        <is>
          <t>Abacate</t>
        </is>
      </c>
      <c r="M4" t="inlineStr">
        <is>
          <t>Frango sem pele</t>
        </is>
      </c>
      <c r="N4" t="inlineStr">
        <is>
          <t>Abacate</t>
        </is>
      </c>
      <c r="O4" t="inlineStr">
        <is>
          <t>Frango sem pele</t>
        </is>
      </c>
      <c r="Q4" t="inlineStr">
        <is>
          <t>Proteínas|Café da manhã</t>
        </is>
      </c>
      <c r="R4" t="inlineStr">
        <is>
          <t>Ovo</t>
        </is>
      </c>
      <c r="T4" t="inlineStr">
        <is>
          <t>Proteínas</t>
        </is>
      </c>
      <c r="U4" t="inlineStr">
        <is>
          <t>Vegetais e Verduras</t>
        </is>
      </c>
    </row>
    <row r="5">
      <c r="A5" t="inlineStr">
        <is>
          <t>Manga</t>
        </is>
      </c>
      <c r="B5" t="inlineStr">
        <is>
          <t>Frutas</t>
        </is>
      </c>
      <c r="C5" t="inlineStr">
        <is>
          <t>Moderar</t>
        </is>
      </c>
      <c r="D5" t="inlineStr">
        <is>
          <t>200 g</t>
        </is>
      </c>
      <c r="E5" t="inlineStr">
        <is>
          <t>1x/semana</t>
        </is>
      </c>
      <c r="F5" t="inlineStr">
        <is>
          <t>Mais açúcar que outras frutas</t>
        </is>
      </c>
      <c r="G5" t="inlineStr">
        <is>
          <t>X</t>
        </is>
      </c>
      <c r="H5" t="inlineStr"/>
      <c r="I5" t="inlineStr">
        <is>
          <t>X</t>
        </is>
      </c>
      <c r="J5" t="inlineStr"/>
      <c r="L5" t="inlineStr">
        <is>
          <t>Aveia</t>
        </is>
      </c>
      <c r="M5" t="inlineStr">
        <is>
          <t>Ovo</t>
        </is>
      </c>
      <c r="N5" t="inlineStr">
        <is>
          <t>Pão integral</t>
        </is>
      </c>
      <c r="O5" t="inlineStr">
        <is>
          <t>Ovo</t>
        </is>
      </c>
      <c r="Q5" t="inlineStr">
        <is>
          <t>Laticínios|Café da manhã</t>
        </is>
      </c>
      <c r="R5" t="inlineStr">
        <is>
          <t>Leite desnatado</t>
        </is>
      </c>
      <c r="T5" t="inlineStr">
        <is>
          <t>Vegetais e Verduras</t>
        </is>
      </c>
      <c r="U5" t="inlineStr">
        <is>
          <t>Proteínas</t>
        </is>
      </c>
    </row>
    <row r="6">
      <c r="A6" t="inlineStr">
        <is>
          <t>Abacate</t>
        </is>
      </c>
      <c r="B6" t="inlineStr">
        <is>
          <t>Frutas</t>
        </is>
      </c>
      <c r="C6" t="inlineStr">
        <is>
          <t>Liberado</t>
        </is>
      </c>
      <c r="D6" t="inlineStr">
        <is>
          <t>2 colheres de sopa</t>
        </is>
      </c>
      <c r="E6" t="inlineStr">
        <is>
          <t>1x/dia</t>
        </is>
      </c>
      <c r="F6" t="inlineStr">
        <is>
          <t>Gordura boa, mas calórico</t>
        </is>
      </c>
      <c r="G6" t="inlineStr">
        <is>
          <t>X</t>
        </is>
      </c>
      <c r="H6" t="inlineStr"/>
      <c r="I6" t="inlineStr">
        <is>
          <t>X</t>
        </is>
      </c>
      <c r="J6" t="inlineStr"/>
      <c r="L6" t="inlineStr">
        <is>
          <t>Pão integral</t>
        </is>
      </c>
      <c r="M6" t="inlineStr">
        <is>
          <t>Feijão / leguminosas</t>
        </is>
      </c>
      <c r="N6" t="inlineStr">
        <is>
          <t>Leite desnatado</t>
        </is>
      </c>
      <c r="O6" t="inlineStr">
        <is>
          <t>Feijão / leguminosas</t>
        </is>
      </c>
      <c r="Q6" t="inlineStr">
        <is>
          <t>Bebidas|Café da manhã</t>
        </is>
      </c>
      <c r="R6" t="inlineStr">
        <is>
          <t>Água</t>
        </is>
      </c>
      <c r="T6" t="inlineStr">
        <is>
          <t>Bebidas</t>
        </is>
      </c>
      <c r="U6" t="inlineStr">
        <is>
          <t>Proteínas</t>
        </is>
      </c>
    </row>
    <row r="7">
      <c r="A7" t="inlineStr">
        <is>
          <t>Toranja / grapefruit</t>
        </is>
      </c>
      <c r="B7" t="inlineStr">
        <is>
          <t>Frutas</t>
        </is>
      </c>
      <c r="C7" t="inlineStr">
        <is>
          <t>Evitar</t>
        </is>
      </c>
      <c r="D7" t="inlineStr">
        <is>
          <t>-</t>
        </is>
      </c>
      <c r="E7" t="inlineStr">
        <is>
          <t>evitar</t>
        </is>
      </c>
      <c r="F7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  <c r="G7" t="inlineStr">
        <is>
          <t>X</t>
        </is>
      </c>
      <c r="H7" t="inlineStr"/>
      <c r="I7" t="inlineStr">
        <is>
          <t>X</t>
        </is>
      </c>
      <c r="J7" t="inlineStr"/>
      <c r="L7" t="inlineStr">
        <is>
          <t>Ovo</t>
        </is>
      </c>
      <c r="M7" t="inlineStr">
        <is>
          <t>Água</t>
        </is>
      </c>
      <c r="N7" t="inlineStr">
        <is>
          <t>Iogurte natural (desnatado, sem açúcar)</t>
        </is>
      </c>
      <c r="O7" t="inlineStr">
        <is>
          <t>Água</t>
        </is>
      </c>
      <c r="Q7" t="inlineStr">
        <is>
          <t>Doces e Sobremesas|Café da manhã</t>
        </is>
      </c>
      <c r="R7" t="inlineStr">
        <is>
          <t>Açúcar refinado</t>
        </is>
      </c>
      <c r="T7" t="inlineStr">
        <is>
          <t>Frutas</t>
        </is>
      </c>
      <c r="U7" t="inlineStr">
        <is>
          <t>Laticínios</t>
        </is>
      </c>
    </row>
    <row r="8">
      <c r="A8" t="inlineStr">
        <is>
          <t>Arroz integral</t>
        </is>
      </c>
      <c r="B8" t="inlineStr">
        <is>
          <t>Grãos e Cereais</t>
        </is>
      </c>
      <c r="C8" t="inlineStr">
        <is>
          <t>Liberado</t>
        </is>
      </c>
      <c r="D8" t="inlineStr">
        <is>
          <t>200 g (cozido)</t>
        </is>
      </c>
      <c r="E8" t="inlineStr">
        <is>
          <t>quase todo dia</t>
        </is>
      </c>
      <c r="F8" t="inlineStr"/>
      <c r="G8" t="inlineStr"/>
      <c r="H8" t="inlineStr">
        <is>
          <t>X</t>
        </is>
      </c>
      <c r="I8" t="inlineStr"/>
      <c r="J8" t="inlineStr">
        <is>
          <t>X</t>
        </is>
      </c>
      <c r="L8" t="inlineStr">
        <is>
          <t>Leite desnatado</t>
        </is>
      </c>
      <c r="M8" t="inlineStr">
        <is>
          <t>Azeite de oliva extra virgem</t>
        </is>
      </c>
      <c r="N8" t="inlineStr">
        <is>
          <t>Água</t>
        </is>
      </c>
      <c r="O8" t="inlineStr">
        <is>
          <t>Azeite de oliva extra virgem</t>
        </is>
      </c>
      <c r="Q8" t="inlineStr">
        <is>
          <t>Gorduras e Temperos|Café da manhã</t>
        </is>
      </c>
      <c r="R8" t="inlineStr">
        <is>
          <t>Manteiga</t>
        </is>
      </c>
      <c r="T8" t="inlineStr">
        <is>
          <t>Doces e Sobremesas</t>
        </is>
      </c>
      <c r="U8" t="inlineStr">
        <is>
          <t>Frutas</t>
        </is>
      </c>
    </row>
    <row r="9">
      <c r="A9" t="inlineStr">
        <is>
          <t>Arroz branco</t>
        </is>
      </c>
      <c r="B9" t="inlineStr">
        <is>
          <t>Grãos e Cereais</t>
        </is>
      </c>
      <c r="C9" t="inlineStr">
        <is>
          <t>Moderar</t>
        </is>
      </c>
      <c r="D9" t="inlineStr">
        <is>
          <t>200 g (cozido)</t>
        </is>
      </c>
      <c r="E9" t="inlineStr">
        <is>
          <t>2x/semana</t>
        </is>
      </c>
      <c r="F9" t="inlineStr">
        <is>
          <t>Preferir integral no restante da semana</t>
        </is>
      </c>
      <c r="G9" t="inlineStr"/>
      <c r="H9" t="inlineStr">
        <is>
          <t>X</t>
        </is>
      </c>
      <c r="I9" t="inlineStr"/>
      <c r="J9" t="inlineStr">
        <is>
          <t>X</t>
        </is>
      </c>
      <c r="L9" t="inlineStr">
        <is>
          <t>Iogurte natural (desnatado, sem açúcar)</t>
        </is>
      </c>
      <c r="M9" t="inlineStr">
        <is>
          <t>Ervas e temperos naturais</t>
        </is>
      </c>
      <c r="N9" t="inlineStr">
        <is>
          <t>Café sem açúcar</t>
        </is>
      </c>
      <c r="O9" t="inlineStr">
        <is>
          <t>Ervas e temperos naturais</t>
        </is>
      </c>
      <c r="Q9" t="inlineStr">
        <is>
          <t>Vegetais e Verduras|Café da manhã</t>
        </is>
      </c>
      <c r="R9" t="inlineStr">
        <is>
          <t>Vegetais e verduras em geral</t>
        </is>
      </c>
      <c r="T9" t="inlineStr">
        <is>
          <t>Gorduras e Temperos</t>
        </is>
      </c>
      <c r="U9" t="inlineStr">
        <is>
          <t>Vegetais e Verduras</t>
        </is>
      </c>
    </row>
    <row r="10">
      <c r="A10" t="inlineStr">
        <is>
          <t>Aveia</t>
        </is>
      </c>
      <c r="B10" t="inlineStr">
        <is>
          <t>Grãos e Cereais</t>
        </is>
      </c>
      <c r="C10" t="inlineStr">
        <is>
          <t>Liberado</t>
        </is>
      </c>
      <c r="D10" t="inlineStr">
        <is>
          <t>2 colheres de sopa</t>
        </is>
      </c>
      <c r="E10" t="inlineStr">
        <is>
          <t>1x/dia</t>
        </is>
      </c>
      <c r="F10" t="inlineStr">
        <is>
          <t>Ajuda a reduzir colesterol</t>
        </is>
      </c>
      <c r="G10" t="inlineStr">
        <is>
          <t>X</t>
        </is>
      </c>
      <c r="H10" t="inlineStr"/>
      <c r="I10" t="inlineStr"/>
      <c r="J10" t="inlineStr"/>
      <c r="L10" t="inlineStr">
        <is>
          <t>Água</t>
        </is>
      </c>
      <c r="M10" t="inlineStr">
        <is>
          <t>Vegetais e verduras em geral</t>
        </is>
      </c>
      <c r="N10" t="inlineStr">
        <is>
          <t>Vegetais e verduras em geral</t>
        </is>
      </c>
      <c r="O10" t="inlineStr">
        <is>
          <t>Vegetais e verduras em geral</t>
        </is>
      </c>
      <c r="Q10" t="inlineStr">
        <is>
          <t>Grãos e Cereais|Almoço</t>
        </is>
      </c>
      <c r="R10" t="inlineStr">
        <is>
          <t>Arroz integral</t>
        </is>
      </c>
    </row>
    <row r="11">
      <c r="A11" t="inlineStr">
        <is>
          <t>Pão integral</t>
        </is>
      </c>
      <c r="B11" t="inlineStr">
        <is>
          <t>Grãos e Cereais</t>
        </is>
      </c>
      <c r="C11" t="inlineStr">
        <is>
          <t>Liberado</t>
        </is>
      </c>
      <c r="D11" t="inlineStr">
        <is>
          <t>2 fatias</t>
        </is>
      </c>
      <c r="E11" t="inlineStr">
        <is>
          <t>1x/dia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L11" t="inlineStr">
        <is>
          <t>Café sem açúcar</t>
        </is>
      </c>
      <c r="M11" t="inlineStr">
        <is>
          <t>Arroz branco</t>
        </is>
      </c>
      <c r="N11" t="inlineStr">
        <is>
          <t>Uva</t>
        </is>
      </c>
      <c r="O11" t="inlineStr">
        <is>
          <t>Arroz branco</t>
        </is>
      </c>
      <c r="Q11" t="inlineStr">
        <is>
          <t>Proteínas|Almoço</t>
        </is>
      </c>
      <c r="R11" t="inlineStr">
        <is>
          <t>Peixe</t>
        </is>
      </c>
    </row>
    <row r="12">
      <c r="A12" t="inlineStr">
        <is>
          <t>Peixe</t>
        </is>
      </c>
      <c r="B12" t="inlineStr">
        <is>
          <t>Proteínas</t>
        </is>
      </c>
      <c r="C12" t="inlineStr">
        <is>
          <t>Liberado</t>
        </is>
      </c>
      <c r="D12" t="inlineStr">
        <is>
          <t>150 g</t>
        </is>
      </c>
      <c r="E12" t="inlineStr">
        <is>
          <t>3x/semana</t>
        </is>
      </c>
      <c r="F12" t="inlineStr">
        <is>
          <t>Fonte de ômega-3</t>
        </is>
      </c>
      <c r="G12" t="inlineStr"/>
      <c r="H12" t="inlineStr">
        <is>
          <t>X</t>
        </is>
      </c>
      <c r="I12" t="inlineStr"/>
      <c r="J12" t="inlineStr">
        <is>
          <t>X</t>
        </is>
      </c>
      <c r="L12" t="inlineStr">
        <is>
          <t>Vegetais e verduras em geral</t>
        </is>
      </c>
      <c r="M12" t="inlineStr">
        <is>
          <t>Carne vermelha magra</t>
        </is>
      </c>
      <c r="N12" t="inlineStr">
        <is>
          <t>Manga</t>
        </is>
      </c>
      <c r="O12" t="inlineStr">
        <is>
          <t>Carne vermelha magra</t>
        </is>
      </c>
      <c r="Q12" t="inlineStr">
        <is>
          <t>Bebidas|Almoço</t>
        </is>
      </c>
      <c r="R12" t="inlineStr">
        <is>
          <t>Água</t>
        </is>
      </c>
    </row>
    <row r="13">
      <c r="A13" t="inlineStr">
        <is>
          <t>Frango sem pele</t>
        </is>
      </c>
      <c r="B13" t="inlineStr">
        <is>
          <t>Proteínas</t>
        </is>
      </c>
      <c r="C13" t="inlineStr">
        <is>
          <t>Liberado</t>
        </is>
      </c>
      <c r="D13" t="inlineStr">
        <is>
          <t>150 g</t>
        </is>
      </c>
      <c r="E13" t="inlineStr">
        <is>
          <t>quase todo dia</t>
        </is>
      </c>
      <c r="F13" t="inlineStr"/>
      <c r="G13" t="inlineStr"/>
      <c r="H13" t="inlineStr">
        <is>
          <t>X</t>
        </is>
      </c>
      <c r="I13" t="inlineStr"/>
      <c r="J13" t="inlineStr">
        <is>
          <t>X</t>
        </is>
      </c>
      <c r="L13" t="inlineStr">
        <is>
          <t>Uva</t>
        </is>
      </c>
      <c r="M13" t="inlineStr">
        <is>
          <t>Refrigerante zero</t>
        </is>
      </c>
      <c r="N13" t="inlineStr">
        <is>
          <t>Queijo branco</t>
        </is>
      </c>
      <c r="O13" t="inlineStr">
        <is>
          <t>Refrigerante zero</t>
        </is>
      </c>
      <c r="Q13" t="inlineStr">
        <is>
          <t>Doces e Sobremesas|Almoço</t>
        </is>
      </c>
      <c r="R13" t="inlineStr">
        <is>
          <t>Açúcar refinado</t>
        </is>
      </c>
    </row>
    <row r="14">
      <c r="A14" t="inlineStr">
        <is>
          <t>Carne vermelha magra</t>
        </is>
      </c>
      <c r="B14" t="inlineStr">
        <is>
          <t>Proteínas</t>
        </is>
      </c>
      <c r="C14" t="inlineStr">
        <is>
          <t>Moderar</t>
        </is>
      </c>
      <c r="D14" t="inlineStr">
        <is>
          <t>150 g</t>
        </is>
      </c>
      <c r="E14" t="inlineStr">
        <is>
          <t>1x/semana</t>
        </is>
      </c>
      <c r="F14" t="inlineStr">
        <is>
          <t>Preferir cortes magros</t>
        </is>
      </c>
      <c r="G14" t="inlineStr"/>
      <c r="H14" t="inlineStr">
        <is>
          <t>X</t>
        </is>
      </c>
      <c r="I14" t="inlineStr"/>
      <c r="J14" t="inlineStr">
        <is>
          <t>X</t>
        </is>
      </c>
      <c r="L14" t="inlineStr">
        <is>
          <t>Manga</t>
        </is>
      </c>
      <c r="M14" t="inlineStr">
        <is>
          <t>Sal</t>
        </is>
      </c>
      <c r="N14" t="inlineStr">
        <is>
          <t>Requeijão</t>
        </is>
      </c>
      <c r="O14" t="inlineStr">
        <is>
          <t>Sal</t>
        </is>
      </c>
      <c r="Q14" t="inlineStr">
        <is>
          <t>Gorduras e Temperos|Almoço</t>
        </is>
      </c>
      <c r="R14" t="inlineStr">
        <is>
          <t>Azeite de oliva extra virgem</t>
        </is>
      </c>
    </row>
    <row r="15">
      <c r="A15" t="inlineStr">
        <is>
          <t>Ovo</t>
        </is>
      </c>
      <c r="B15" t="inlineStr">
        <is>
          <t>Proteínas</t>
        </is>
      </c>
      <c r="C15" t="inlineStr">
        <is>
          <t>Liberado</t>
        </is>
      </c>
      <c r="D15" t="inlineStr">
        <is>
          <t>1 unidade</t>
        </is>
      </c>
      <c r="E15" t="inlineStr">
        <is>
          <t>até 5x/semana</t>
        </is>
      </c>
      <c r="F15" t="inlineStr"/>
      <c r="G15" t="inlineStr">
        <is>
          <t>X</t>
        </is>
      </c>
      <c r="H15" t="inlineStr">
        <is>
          <t>X</t>
        </is>
      </c>
      <c r="I15" t="inlineStr"/>
      <c r="J15" t="inlineStr">
        <is>
          <t>X</t>
        </is>
      </c>
      <c r="L15" t="inlineStr">
        <is>
          <t>Queijo branco</t>
        </is>
      </c>
      <c r="M15" t="inlineStr">
        <is>
          <t>Bebida alcoólica</t>
        </is>
      </c>
      <c r="N15" t="inlineStr">
        <is>
          <t>Refrigerante zero</t>
        </is>
      </c>
      <c r="O15" t="inlineStr">
        <is>
          <t>Bebida alcoólica</t>
        </is>
      </c>
      <c r="Q15" t="inlineStr">
        <is>
          <t>Vegetais e Verduras|Almoço</t>
        </is>
      </c>
      <c r="R15" t="inlineStr">
        <is>
          <t>Vegetais e verduras em geral</t>
        </is>
      </c>
    </row>
    <row r="16">
      <c r="A16" t="inlineStr">
        <is>
          <t>Feijão / leguminosas</t>
        </is>
      </c>
      <c r="B16" t="inlineStr">
        <is>
          <t>Proteínas</t>
        </is>
      </c>
      <c r="C16" t="inlineStr">
        <is>
          <t>Liberado</t>
        </is>
      </c>
      <c r="D16" t="inlineStr">
        <is>
          <t>1 concha</t>
        </is>
      </c>
      <c r="E16" t="inlineStr">
        <is>
          <t>1x/dia</t>
        </is>
      </c>
      <c r="F16" t="inlineStr"/>
      <c r="G16" t="inlineStr"/>
      <c r="H16" t="inlineStr">
        <is>
          <t>X</t>
        </is>
      </c>
      <c r="I16" t="inlineStr"/>
      <c r="J16" t="inlineStr">
        <is>
          <t>X</t>
        </is>
      </c>
      <c r="L16" t="inlineStr">
        <is>
          <t>Requeijão</t>
        </is>
      </c>
      <c r="M16" t="inlineStr">
        <is>
          <t>Açúcar refinado</t>
        </is>
      </c>
      <c r="N16" t="inlineStr">
        <is>
          <t>Suco natural sem açúcar</t>
        </is>
      </c>
      <c r="O16" t="inlineStr">
        <is>
          <t>Açúcar refinado</t>
        </is>
      </c>
      <c r="Q16" t="inlineStr">
        <is>
          <t>Frutas|Lanche</t>
        </is>
      </c>
      <c r="R16" t="inlineStr">
        <is>
          <t>Maçã com casca</t>
        </is>
      </c>
    </row>
    <row r="17">
      <c r="A17" t="inlineStr">
        <is>
          <t>Leite desnatado</t>
        </is>
      </c>
      <c r="B17" t="inlineStr">
        <is>
          <t>Laticínios</t>
        </is>
      </c>
      <c r="C17" t="inlineStr">
        <is>
          <t>Liberado</t>
        </is>
      </c>
      <c r="D17" t="inlineStr">
        <is>
          <t>200 ml</t>
        </is>
      </c>
      <c r="E17" t="inlineStr">
        <is>
          <t>1x/dia</t>
        </is>
      </c>
      <c r="F17" t="inlineStr"/>
      <c r="G17" t="inlineStr">
        <is>
          <t>X</t>
        </is>
      </c>
      <c r="H17" t="inlineStr"/>
      <c r="I17" t="inlineStr">
        <is>
          <t>X</t>
        </is>
      </c>
      <c r="J17" t="inlineStr"/>
      <c r="L17" t="inlineStr">
        <is>
          <t>Suco natural sem açúcar</t>
        </is>
      </c>
      <c r="M17" t="inlineStr">
        <is>
          <t>Sal light / substituto de sal (cloreto de potássio)</t>
        </is>
      </c>
      <c r="N17" t="inlineStr">
        <is>
          <t>Chocolate amargo (70%+)</t>
        </is>
      </c>
      <c r="O17" t="inlineStr">
        <is>
          <t>Sal light / substituto de sal (cloreto de potássio)</t>
        </is>
      </c>
      <c r="Q17" t="inlineStr">
        <is>
          <t>Grãos e Cereais|Lanche</t>
        </is>
      </c>
      <c r="R17" t="inlineStr">
        <is>
          <t>Pão integral</t>
        </is>
      </c>
    </row>
    <row r="18">
      <c r="A18" t="inlineStr">
        <is>
          <t>Queijo branco</t>
        </is>
      </c>
      <c r="B18" t="inlineStr">
        <is>
          <t>Laticínios</t>
        </is>
      </c>
      <c r="C18" t="inlineStr">
        <is>
          <t>Moderar</t>
        </is>
      </c>
      <c r="D18" t="inlineStr">
        <is>
          <t>30 g</t>
        </is>
      </c>
      <c r="E18" t="inlineStr">
        <is>
          <t>3x/semana</t>
        </is>
      </c>
      <c r="F18" t="inlineStr">
        <is>
          <t>Atenção ao sódio</t>
        </is>
      </c>
      <c r="G18" t="inlineStr">
        <is>
          <t>X</t>
        </is>
      </c>
      <c r="H18" t="inlineStr"/>
      <c r="I18" t="inlineStr">
        <is>
          <t>X</t>
        </is>
      </c>
      <c r="J18" t="inlineStr"/>
      <c r="L18" t="inlineStr">
        <is>
          <t>Toranja / grapefruit</t>
        </is>
      </c>
      <c r="N18" t="inlineStr">
        <is>
          <t>Toranja / grapefruit</t>
        </is>
      </c>
      <c r="Q18" t="inlineStr">
        <is>
          <t>Laticínios|Lanche</t>
        </is>
      </c>
      <c r="R18" t="inlineStr">
        <is>
          <t>Leite desnatado</t>
        </is>
      </c>
    </row>
    <row r="19">
      <c r="A19" t="inlineStr">
        <is>
          <t>Iogurte natural (desnatado, sem açúcar)</t>
        </is>
      </c>
      <c r="B19" t="inlineStr">
        <is>
          <t>Laticínios</t>
        </is>
      </c>
      <c r="C19" t="inlineStr">
        <is>
          <t>Liberado</t>
        </is>
      </c>
      <c r="D19" t="inlineStr">
        <is>
          <t>1 unidade</t>
        </is>
      </c>
      <c r="E19" t="inlineStr">
        <is>
          <t>1x/dia</t>
        </is>
      </c>
      <c r="F19" t="inlineStr">
        <is>
          <t>Prefira sempre a versão sem açúcar adicionado</t>
        </is>
      </c>
      <c r="G19" t="inlineStr">
        <is>
          <t>X</t>
        </is>
      </c>
      <c r="H19" t="inlineStr"/>
      <c r="I19" t="inlineStr">
        <is>
          <t>X</t>
        </is>
      </c>
      <c r="J19" t="inlineStr"/>
      <c r="L19" t="inlineStr">
        <is>
          <t>Suco de toranja / grapefruit</t>
        </is>
      </c>
      <c r="N19" t="inlineStr">
        <is>
          <t>Suco de toranja / grapefruit</t>
        </is>
      </c>
      <c r="Q19" t="inlineStr">
        <is>
          <t>Bebidas|Lanche</t>
        </is>
      </c>
      <c r="R19" t="inlineStr">
        <is>
          <t>Água</t>
        </is>
      </c>
    </row>
    <row r="20">
      <c r="A20" t="inlineStr">
        <is>
          <t>Requeijão</t>
        </is>
      </c>
      <c r="B20" t="inlineStr">
        <is>
          <t>Laticínios</t>
        </is>
      </c>
      <c r="C20" t="inlineStr">
        <is>
          <t>Moderar</t>
        </is>
      </c>
      <c r="D20" t="inlineStr">
        <is>
          <t>1 colher de sopa (≈15 g)</t>
        </is>
      </c>
      <c r="E20" t="inlineStr">
        <is>
          <t>2x/semana</t>
        </is>
      </c>
      <c r="F20" t="inlineStr">
        <is>
          <t>Rico em gordura saturada e sódio; prefira a versão light. Sugestão gerada por IA — confirmar com nutricionista/cardiologista.</t>
        </is>
      </c>
      <c r="G20" t="inlineStr">
        <is>
          <t>X</t>
        </is>
      </c>
      <c r="H20" t="inlineStr"/>
      <c r="I20" t="inlineStr">
        <is>
          <t>X</t>
        </is>
      </c>
      <c r="J20" t="inlineStr"/>
      <c r="L20" t="inlineStr">
        <is>
          <t>Açúcar refinado</t>
        </is>
      </c>
      <c r="N20" t="inlineStr">
        <is>
          <t>Açúcar refinado</t>
        </is>
      </c>
      <c r="Q20" t="inlineStr">
        <is>
          <t>Doces e Sobremesas|Lanche</t>
        </is>
      </c>
      <c r="R20" t="inlineStr">
        <is>
          <t>Açúcar refinado</t>
        </is>
      </c>
    </row>
    <row r="21">
      <c r="A21" t="inlineStr">
        <is>
          <t>Água</t>
        </is>
      </c>
      <c r="B21" t="inlineStr">
        <is>
          <t>Bebidas</t>
        </is>
      </c>
      <c r="C21" t="inlineStr">
        <is>
          <t>Liberado</t>
        </is>
      </c>
      <c r="D21" t="inlineStr">
        <is>
          <t>à vontade</t>
        </is>
      </c>
      <c r="E21" t="inlineStr">
        <is>
          <t>todos os dias</t>
        </is>
      </c>
      <c r="F21" t="inlineStr"/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L21" t="inlineStr">
        <is>
          <t>Manteiga</t>
        </is>
      </c>
      <c r="N21" t="inlineStr">
        <is>
          <t>Doces industrializados</t>
        </is>
      </c>
      <c r="Q21" t="inlineStr">
        <is>
          <t>Vegetais e Verduras|Lanche</t>
        </is>
      </c>
      <c r="R21" t="inlineStr">
        <is>
          <t>Vegetais e verduras em geral</t>
        </is>
      </c>
    </row>
    <row r="22">
      <c r="A22" t="inlineStr">
        <is>
          <t>Refrigerante zero</t>
        </is>
      </c>
      <c r="B22" t="inlineStr">
        <is>
          <t>Bebidas</t>
        </is>
      </c>
      <c r="C22" t="inlineStr">
        <is>
          <t>Moderar</t>
        </is>
      </c>
      <c r="D22" t="inlineStr">
        <is>
          <t>200 ml</t>
        </is>
      </c>
      <c r="E22" t="inlineStr">
        <is>
          <t>1x/dia</t>
        </is>
      </c>
      <c r="F22" t="inlineStr">
        <is>
          <t>Sugestão gerada por IA — confirmar com nutricionista/cardiologista</t>
        </is>
      </c>
      <c r="G22" t="inlineStr"/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Q22" t="inlineStr">
        <is>
          <t>Grãos e Cereais|Jantar</t>
        </is>
      </c>
      <c r="R22" t="inlineStr">
        <is>
          <t>Arroz integral</t>
        </is>
      </c>
    </row>
    <row r="23">
      <c r="A23" t="inlineStr">
        <is>
          <t>Café sem açúcar</t>
        </is>
      </c>
      <c r="B23" t="inlineStr">
        <is>
          <t>Bebidas</t>
        </is>
      </c>
      <c r="C23" t="inlineStr">
        <is>
          <t>Liberado</t>
        </is>
      </c>
      <c r="D23" t="inlineStr">
        <is>
          <t>1 xícara</t>
        </is>
      </c>
      <c r="E23" t="inlineStr">
        <is>
          <t>2x/dia</t>
        </is>
      </c>
      <c r="F23" t="inlineStr"/>
      <c r="G23" t="inlineStr">
        <is>
          <t>X</t>
        </is>
      </c>
      <c r="H23" t="inlineStr"/>
      <c r="I23" t="inlineStr">
        <is>
          <t>X</t>
        </is>
      </c>
      <c r="J23" t="inlineStr"/>
      <c r="Q23" t="inlineStr">
        <is>
          <t>Proteínas|Jantar</t>
        </is>
      </c>
      <c r="R23" t="inlineStr">
        <is>
          <t>Peixe</t>
        </is>
      </c>
    </row>
    <row r="24">
      <c r="A24" t="inlineStr">
        <is>
          <t>Suco natural sem açúcar</t>
        </is>
      </c>
      <c r="B24" t="inlineStr">
        <is>
          <t>Bebidas</t>
        </is>
      </c>
      <c r="C24" t="inlineStr">
        <is>
          <t>Moderar</t>
        </is>
      </c>
      <c r="D24" t="inlineStr">
        <is>
          <t>200 ml</t>
        </is>
      </c>
      <c r="E24" t="inlineStr">
        <is>
          <t>3x/semana</t>
        </is>
      </c>
      <c r="F24" t="inlineStr">
        <is>
          <t>Preferir a fruta inteira, que tem mais fibra</t>
        </is>
      </c>
      <c r="G24" t="inlineStr">
        <is>
          <t>X</t>
        </is>
      </c>
      <c r="H24" t="inlineStr"/>
      <c r="I24" t="inlineStr">
        <is>
          <t>X</t>
        </is>
      </c>
      <c r="J24" t="inlineStr"/>
      <c r="Q24" t="inlineStr">
        <is>
          <t>Bebidas|Jantar</t>
        </is>
      </c>
      <c r="R24" t="inlineStr">
        <is>
          <t>Água</t>
        </is>
      </c>
    </row>
    <row r="25">
      <c r="A25" t="inlineStr">
        <is>
          <t>Suco de toranja / grapefruit</t>
        </is>
      </c>
      <c r="B25" t="inlineStr">
        <is>
          <t>Bebidas</t>
        </is>
      </c>
      <c r="C25" t="inlineStr">
        <is>
          <t>Evitar</t>
        </is>
      </c>
      <c r="D25" t="inlineStr">
        <is>
          <t>-</t>
        </is>
      </c>
      <c r="E25" t="inlineStr">
        <is>
          <t>evitar</t>
        </is>
      </c>
      <c r="F25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  <c r="G25" t="inlineStr">
        <is>
          <t>X</t>
        </is>
      </c>
      <c r="H25" t="inlineStr"/>
      <c r="I25" t="inlineStr">
        <is>
          <t>X</t>
        </is>
      </c>
      <c r="J25" t="inlineStr"/>
      <c r="Q25" t="inlineStr">
        <is>
          <t>Doces e Sobremesas|Jantar</t>
        </is>
      </c>
      <c r="R25" t="inlineStr">
        <is>
          <t>Açúcar refinado</t>
        </is>
      </c>
    </row>
    <row r="26">
      <c r="A26" t="inlineStr">
        <is>
          <t>Bebida alcoólica</t>
        </is>
      </c>
      <c r="B26" t="inlineStr">
        <is>
          <t>Bebidas</t>
        </is>
      </c>
      <c r="C26" t="inlineStr">
        <is>
          <t>Evitar</t>
        </is>
      </c>
      <c r="D26" t="inlineStr">
        <is>
          <t>-</t>
        </is>
      </c>
      <c r="E26" t="inlineStr">
        <is>
          <t>evitar</t>
        </is>
      </c>
      <c r="F26" t="inlineStr">
        <is>
          <t>Piora diretamente os triglicerídeos; soma-se ao risco de sangramento da Aspirina + Ticagrelor.</t>
        </is>
      </c>
      <c r="G26" t="inlineStr"/>
      <c r="H26" t="inlineStr">
        <is>
          <t>X</t>
        </is>
      </c>
      <c r="I26" t="inlineStr"/>
      <c r="J26" t="inlineStr">
        <is>
          <t>X</t>
        </is>
      </c>
      <c r="Q26" t="inlineStr">
        <is>
          <t>Gorduras e Temperos|Jantar</t>
        </is>
      </c>
      <c r="R26" t="inlineStr">
        <is>
          <t>Azeite de oliva extra virgem</t>
        </is>
      </c>
    </row>
    <row r="27">
      <c r="A27" t="inlineStr">
        <is>
          <t>Açúcar refinado</t>
        </is>
      </c>
      <c r="B27" t="inlineStr">
        <is>
          <t>Doces e Sobremesas</t>
        </is>
      </c>
      <c r="C27" t="inlineStr">
        <is>
          <t>Evitar</t>
        </is>
      </c>
      <c r="D27" t="inlineStr">
        <is>
          <t>-</t>
        </is>
      </c>
      <c r="E27" t="inlineStr">
        <is>
          <t>evitar</t>
        </is>
      </c>
      <c r="F27" t="inlineStr">
        <is>
          <t>Impacto direto nos triglicerídeos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Q27" t="inlineStr">
        <is>
          <t>Vegetais e Verduras|Jantar</t>
        </is>
      </c>
      <c r="R27" t="inlineStr">
        <is>
          <t>Vegetais e verduras em geral</t>
        </is>
      </c>
    </row>
    <row r="28">
      <c r="A28" t="inlineStr">
        <is>
          <t>Doces industrializados</t>
        </is>
      </c>
      <c r="B28" t="inlineStr">
        <is>
          <t>Doces e Sobremesas</t>
        </is>
      </c>
      <c r="C28" t="inlineStr">
        <is>
          <t>Evitar</t>
        </is>
      </c>
      <c r="D28" t="inlineStr">
        <is>
          <t>-</t>
        </is>
      </c>
      <c r="E28" t="inlineStr">
        <is>
          <t>evitar</t>
        </is>
      </c>
      <c r="F28" t="inlineStr"/>
      <c r="G28" t="inlineStr"/>
      <c r="H28" t="inlineStr"/>
      <c r="I28" t="inlineStr">
        <is>
          <t>X</t>
        </is>
      </c>
      <c r="J28" t="inlineStr"/>
    </row>
    <row r="29">
      <c r="A29" t="inlineStr">
        <is>
          <t>Chocolate amargo (70%+)</t>
        </is>
      </c>
      <c r="B29" t="inlineStr">
        <is>
          <t>Doces e Sobremesas</t>
        </is>
      </c>
      <c r="C29" t="inlineStr">
        <is>
          <t>Moderar</t>
        </is>
      </c>
      <c r="D29" t="inlineStr">
        <is>
          <t>10 g</t>
        </is>
      </c>
      <c r="E29" t="inlineStr">
        <is>
          <t>2x/semana</t>
        </is>
      </c>
      <c r="F29" t="inlineStr">
        <is>
          <t>Sugestão gerada por IA — confirmar com nutricionista/cardiologista</t>
        </is>
      </c>
      <c r="G29" t="inlineStr"/>
      <c r="H29" t="inlineStr"/>
      <c r="I29" t="inlineStr">
        <is>
          <t>X</t>
        </is>
      </c>
      <c r="J29" t="inlineStr"/>
    </row>
    <row r="30">
      <c r="A30" t="inlineStr">
        <is>
          <t>Azeite de oliva extra virgem</t>
        </is>
      </c>
      <c r="B30" t="inlineStr">
        <is>
          <t>Gorduras e Temperos</t>
        </is>
      </c>
      <c r="C30" t="inlineStr">
        <is>
          <t>Liberado</t>
        </is>
      </c>
      <c r="D30" t="inlineStr">
        <is>
          <t>1-2 colheres de sopa</t>
        </is>
      </c>
      <c r="E30" t="inlineStr">
        <is>
          <t>1x/dia</t>
        </is>
      </c>
      <c r="F30" t="inlineStr"/>
      <c r="G30" t="inlineStr"/>
      <c r="H30" t="inlineStr">
        <is>
          <t>X</t>
        </is>
      </c>
      <c r="I30" t="inlineStr"/>
      <c r="J30" t="inlineStr">
        <is>
          <t>X</t>
        </is>
      </c>
    </row>
    <row r="31">
      <c r="A31" t="inlineStr">
        <is>
          <t>Manteiga</t>
        </is>
      </c>
      <c r="B31" t="inlineStr">
        <is>
          <t>Gorduras e Temperos</t>
        </is>
      </c>
      <c r="C31" t="inlineStr">
        <is>
          <t>Evitar</t>
        </is>
      </c>
      <c r="D31" t="inlineStr">
        <is>
          <t>-</t>
        </is>
      </c>
      <c r="E31" t="inlineStr">
        <is>
          <t>evitar</t>
        </is>
      </c>
      <c r="F31" t="inlineStr">
        <is>
          <t>Preferir azeite</t>
        </is>
      </c>
      <c r="G31" t="inlineStr">
        <is>
          <t>X</t>
        </is>
      </c>
      <c r="H31" t="inlineStr"/>
      <c r="I31" t="inlineStr"/>
      <c r="J31" t="inlineStr"/>
    </row>
    <row r="32">
      <c r="A32" t="inlineStr">
        <is>
          <t>Sal</t>
        </is>
      </c>
      <c r="B32" t="inlineStr">
        <is>
          <t>Gorduras e Temperos</t>
        </is>
      </c>
      <c r="C32" t="inlineStr">
        <is>
          <t>Moderar</t>
        </is>
      </c>
      <c r="D32" t="inlineStr">
        <is>
          <t>&lt; 5 g no total</t>
        </is>
      </c>
      <c r="E32" t="inlineStr">
        <is>
          <t>todos os dias</t>
        </is>
      </c>
      <c r="F32" t="inlineStr">
        <is>
          <t>Somar sal de cozinha + industrializados</t>
        </is>
      </c>
      <c r="G32" t="inlineStr"/>
      <c r="H32" t="inlineStr">
        <is>
          <t>X</t>
        </is>
      </c>
      <c r="I32" t="inlineStr"/>
      <c r="J32" t="inlineStr">
        <is>
          <t>X</t>
        </is>
      </c>
    </row>
    <row r="33">
      <c r="A33" t="inlineStr">
        <is>
          <t>Sal light / substituto de sal (cloreto de potássio)</t>
        </is>
      </c>
      <c r="B33" t="inlineStr">
        <is>
          <t>Gorduras e Temperos</t>
        </is>
      </c>
      <c r="C33" t="inlineStr">
        <is>
          <t>Evitar</t>
        </is>
      </c>
      <c r="D33" t="inlineStr">
        <is>
          <t>-</t>
        </is>
      </c>
      <c r="E33" t="inlineStr">
        <is>
          <t>evitar</t>
        </is>
      </c>
      <c r="F33" t="inlineStr">
        <is>
          <t>Enalapril já tende a elevar o potássio; combinado com esse produto o risco de hipercalemia aumenta, ainda mais com a função renal pendente.</t>
        </is>
      </c>
      <c r="G33" t="inlineStr"/>
      <c r="H33" t="inlineStr">
        <is>
          <t>X</t>
        </is>
      </c>
      <c r="I33" t="inlineStr"/>
      <c r="J33" t="inlineStr">
        <is>
          <t>X</t>
        </is>
      </c>
    </row>
    <row r="34">
      <c r="A34" t="inlineStr">
        <is>
          <t>Ervas e temperos naturais</t>
        </is>
      </c>
      <c r="B34" t="inlineStr">
        <is>
          <t>Gorduras e Temperos</t>
        </is>
      </c>
      <c r="C34" t="inlineStr">
        <is>
          <t>Liberado</t>
        </is>
      </c>
      <c r="D34" t="inlineStr">
        <is>
          <t>à vontade</t>
        </is>
      </c>
      <c r="E34" t="inlineStr">
        <is>
          <t>todos os dias</t>
        </is>
      </c>
      <c r="F34" t="inlineStr"/>
      <c r="G34" t="inlineStr"/>
      <c r="H34" t="inlineStr">
        <is>
          <t>X</t>
        </is>
      </c>
      <c r="I34" t="inlineStr"/>
      <c r="J34" t="inlineStr">
        <is>
          <t>X</t>
        </is>
      </c>
    </row>
    <row r="35">
      <c r="A35" t="inlineStr">
        <is>
          <t>Vegetais e verduras em geral</t>
        </is>
      </c>
      <c r="B35" t="inlineStr">
        <is>
          <t>Vegetais e Verduras</t>
        </is>
      </c>
      <c r="C35" t="inlineStr">
        <is>
          <t>Liberado</t>
        </is>
      </c>
      <c r="D35" t="inlineStr">
        <is>
          <t>à vontade</t>
        </is>
      </c>
      <c r="E35" t="inlineStr">
        <is>
          <t>todos os dias</t>
        </is>
      </c>
      <c r="F35" t="inlineStr">
        <is>
          <t>Se entrar anticoagulante na medicação, revisar consumo de verde-escuros ricos em vitamina K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2026-09-04T21:24:40Z</dcterms:created>
  <dcterms:modified xsi:type="dcterms:W3CDTF">2026-09-04T21:24:40Z</dcterms:modified>
</cp:coreProperties>
</file>