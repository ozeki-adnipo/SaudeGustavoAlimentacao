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5.5"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3.75"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49.5"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3.75"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3.75"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49.5"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49.5"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5.5"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1"/>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2" customWidth="1" min="8" max="8"/>
  </cols>
  <sheetData>
    <row r="1" ht="25.5" customHeight="1">
      <c r="A1" s="1" t="inlineStr">
        <is>
          <t>Alimentos e Quantidades — lista de referência</t>
        </is>
      </c>
    </row>
    <row r="2" ht="19.5"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19.5" customHeight="1">
      <c r="A4" s="10" t="inlineStr">
        <is>
          <t>Frutas</t>
        </is>
      </c>
      <c r="B4" s="11" t="n"/>
      <c r="C4" s="11" t="n"/>
      <c r="D4" s="11" t="n"/>
      <c r="E4" s="11" t="n"/>
      <c r="F4" s="11" t="n"/>
      <c r="G4" s="11" t="n"/>
      <c r="H4" s="11" t="n"/>
    </row>
    <row r="5" ht="49.5" customHeight="1">
      <c r="B5" s="12" t="inlineStr">
        <is>
          <t>Maçã fuji (com casca)</t>
        </is>
      </c>
      <c r="C5" s="13" t="inlineStr"/>
      <c r="D5" s="13" t="inlineStr">
        <is>
          <t>1 unidade</t>
        </is>
      </c>
      <c r="E5" s="13" t="inlineStr">
        <is>
          <t>1x/dia</t>
        </is>
      </c>
      <c r="F5" s="14" t="inlineStr">
        <is>
          <t>Liberado</t>
        </is>
      </c>
      <c r="G5" s="13" t="inlineStr"/>
      <c r="H5" s="12" t="inlineStr">
        <is>
          <t>Vale para maçã em geral, com casca (mais fibra) — Fuji é só um pouco mais doce que outras variedades, sem diferença relevante para o quadro do paciente.</t>
        </is>
      </c>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6" t="inlineStr">
        <is>
          <t>Bom</t>
        </is>
      </c>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3.75" customHeight="1">
      <c r="B10" s="12" t="inlineStr">
        <is>
          <t>Toranja / grapefruit</t>
        </is>
      </c>
      <c r="C10" s="13" t="inlineStr"/>
      <c r="D10" s="13" t="inlineStr">
        <is>
          <t>-</t>
        </is>
      </c>
      <c r="E10" s="13" t="inlineStr">
        <is>
          <t>evitar</t>
        </is>
      </c>
      <c r="F10" s="17"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19.5"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49.5" customHeight="1">
      <c r="B14" s="12" t="inlineStr">
        <is>
          <t>Aveia integral em flocos</t>
        </is>
      </c>
      <c r="C14" s="13" t="inlineStr">
        <is>
          <t>Quaker</t>
        </is>
      </c>
      <c r="D14" s="13" t="inlineStr">
        <is>
          <t>2 colheres de sopa (~30 g)</t>
        </is>
      </c>
      <c r="E14" s="13" t="inlineStr">
        <is>
          <t>1x/dia</t>
        </is>
      </c>
      <c r="F14" s="14" t="inlineStr">
        <is>
          <t>Liberado</t>
        </is>
      </c>
      <c r="G14" s="13" t="inlineStr"/>
      <c r="H14" s="12" t="inlineStr">
        <is>
          <t>Rótulo real: 110 kcal, 2,8 g de fibra (1,2 g de beta-glucana — a fibra solúvel que ajuda a reduzir o colesterol), sem açúcar adicionado, 0 mg de sódio.</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3.75"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92" customHeight="1">
      <c r="B17" s="12" t="inlineStr">
        <is>
          <t>Tortilha</t>
        </is>
      </c>
      <c r="C17" s="13" t="inlineStr">
        <is>
          <t>Rap10</t>
        </is>
      </c>
      <c r="D17" s="13" t="inlineStr">
        <is>
          <t>1 unidade (33 g)</t>
        </is>
      </c>
      <c r="E17" s="13" t="inlineStr">
        <is>
          <t>3x/semana</t>
        </is>
      </c>
      <c r="F17" s="15" t="inlineStr">
        <is>
          <t>Moderar</t>
        </is>
      </c>
      <c r="G17" s="13" t="inlineStr"/>
      <c r="H17" s="12" t="inlineStr">
        <is>
          <t>Rótulo real (porção 40 g ≈ 1 unidade): 120 kcal, 170 mg de sódio, 1,6 g de gordura saturada, 1,2 g de fibras, 0 g de gordura trans, pouco açúcar adicionado (0,3 g). Sódio e gordura saturada acima do que se espera de uma tortilha simples — moderar a frequência e, se possível, somar com o restante do sódio do dia. Contém glúten (triticale). Sugestão gerada por IA — confirmar com nutricionista/cardiologista.</t>
        </is>
      </c>
    </row>
    <row r="18" ht="200.25" customHeight="1">
      <c r="B18" s="12" t="inlineStr">
        <is>
          <t>Granola zero açúcar</t>
        </is>
      </c>
      <c r="C18" s="13" t="inlineStr">
        <is>
          <t>Castanha do Bem</t>
        </is>
      </c>
      <c r="D18" s="13" t="inlineStr">
        <is>
          <t>20 g (1 colher de sopa)</t>
        </is>
      </c>
      <c r="E18" s="13" t="inlineStr">
        <is>
          <t>1x/dia</t>
        </is>
      </c>
      <c r="F18" s="14" t="inlineStr">
        <is>
          <t>Liberado</t>
        </is>
      </c>
      <c r="G18" s="13" t="inlineStr"/>
      <c r="H18" s="12"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row>
    <row r="19" ht="162" customHeight="1">
      <c r="B19" s="12" t="inlineStr">
        <is>
          <t>Granola zero açúcar</t>
        </is>
      </c>
      <c r="C19" s="13" t="inlineStr">
        <is>
          <t>Mãe Terra</t>
        </is>
      </c>
      <c r="D19" s="13" t="inlineStr">
        <is>
          <t>20 g (1 colher de sopa)</t>
        </is>
      </c>
      <c r="E19" s="13" t="inlineStr">
        <is>
          <t>1x/dia</t>
        </is>
      </c>
      <c r="F19" s="14" t="inlineStr">
        <is>
          <t>Liberado</t>
        </is>
      </c>
      <c r="G19" s="13" t="inlineStr"/>
      <c r="H19" s="12" t="inlineStr">
        <is>
          <t>Rótulo real (a porção do rótulo é 40 g/½ xícara; valores abaixo recalculados para 20 g, para manter a mesma porção das demais granolas da planilha): ~91 kcal, 3,6 g de gordura (0,7 g saturada, 0 g trans), 12 g de carboidrato, 0,3 g de açúcar total e zero adicionado (adoçada com eritritol, maltitol e glicosídeos de esteviol — polióis, geralmente bem tolerados nessa quantidade), 2,2 g de proteína, 1,6 g de fibra, só 1,3 mg de sódio (praticamente sem sódio). Leva castanha-do-pará, castanha-de-caju, coco e óleo vegetal — por isso é calórica e tem gordura saturada relevante mesmo sendo zero açúcar: manter a porção, sem repetir a colher. Contém glúten (aveia, flocos de trigo); pode conter diversos alérgenos por contaminação cruzada (amendoim, leite, castanhas variadas, soja).</t>
        </is>
      </c>
    </row>
    <row r="20" ht="19.5" customHeight="1">
      <c r="A20" s="10" t="inlineStr">
        <is>
          <t>Proteínas</t>
        </is>
      </c>
      <c r="B20" s="11" t="n"/>
      <c r="C20" s="11" t="n"/>
      <c r="D20" s="11" t="n"/>
      <c r="E20" s="11" t="n"/>
      <c r="F20" s="11" t="n"/>
      <c r="G20" s="11" t="n"/>
      <c r="H20" s="11" t="n"/>
    </row>
    <row r="21" ht="30" customHeight="1">
      <c r="B21" s="12" t="inlineStr">
        <is>
          <t>Peixe</t>
        </is>
      </c>
      <c r="C21" s="13" t="inlineStr"/>
      <c r="D21" s="13" t="inlineStr">
        <is>
          <t>150 g</t>
        </is>
      </c>
      <c r="E21" s="13" t="inlineStr">
        <is>
          <t>3x/semana</t>
        </is>
      </c>
      <c r="F21" s="14" t="inlineStr">
        <is>
          <t>Liberado</t>
        </is>
      </c>
      <c r="G21" s="13" t="inlineStr"/>
      <c r="H21" s="12" t="inlineStr">
        <is>
          <t>Fonte de ômega-3</t>
        </is>
      </c>
    </row>
    <row r="22" ht="64" customHeight="1">
      <c r="B22" s="12" t="inlineStr">
        <is>
          <t>Sashimi de salmão</t>
        </is>
      </c>
      <c r="C22" s="13" t="inlineStr"/>
      <c r="D22" s="13" t="inlineStr">
        <is>
          <t>150 g (6-8 fatias)</t>
        </is>
      </c>
      <c r="E22" s="13" t="inlineStr">
        <is>
          <t>1-2x/semana</t>
        </is>
      </c>
      <c r="F22" s="14" t="inlineStr">
        <is>
          <t>Liberado</t>
        </is>
      </c>
      <c r="G22" s="13" t="inlineStr"/>
      <c r="H22" s="12" t="inlineStr">
        <is>
          <t>Peixe cru, sem arroz — mesma fonte de ômega-3 do peixe grelhado, conta na mesma cota semanal de peixe. Cuidado é só com o shoyu (molho de soja) do acompanhamento, rico em sódio: usar pouco. Sugestão gerada por IA — confirmar com nutricionista/cardiologista.</t>
        </is>
      </c>
    </row>
    <row r="23" ht="78" customHeight="1">
      <c r="B23" s="12" t="inlineStr">
        <is>
          <t>Sushi de salmão</t>
        </is>
      </c>
      <c r="C23" s="13" t="inlineStr"/>
      <c r="D23" s="13" t="inlineStr">
        <is>
          <t>8-10 peças (nigiri/hossomaki)</t>
        </is>
      </c>
      <c r="E23" s="13" t="inlineStr">
        <is>
          <t>1x/semana</t>
        </is>
      </c>
      <c r="F23" s="15" t="inlineStr">
        <is>
          <t>Moderar</t>
        </is>
      </c>
      <c r="G23" s="13" t="inlineStr"/>
      <c r="H23" s="12"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row>
    <row r="24" ht="30" customHeight="1">
      <c r="B24" s="12" t="inlineStr">
        <is>
          <t>Frango sem pele</t>
        </is>
      </c>
      <c r="C24" s="13" t="inlineStr"/>
      <c r="D24" s="13" t="inlineStr">
        <is>
          <t>150 g</t>
        </is>
      </c>
      <c r="E24" s="13" t="inlineStr">
        <is>
          <t>quase todo dia</t>
        </is>
      </c>
      <c r="F24" s="14" t="inlineStr">
        <is>
          <t>Liberado</t>
        </is>
      </c>
      <c r="G24" s="13" t="inlineStr"/>
      <c r="H24" s="12" t="inlineStr"/>
    </row>
    <row r="25" ht="30" customHeight="1">
      <c r="B25" s="12" t="inlineStr">
        <is>
          <t>Carne vermelha magra</t>
        </is>
      </c>
      <c r="C25" s="13" t="inlineStr"/>
      <c r="D25" s="13" t="inlineStr">
        <is>
          <t>150 g</t>
        </is>
      </c>
      <c r="E25" s="13" t="inlineStr">
        <is>
          <t>1x/semana</t>
        </is>
      </c>
      <c r="F25" s="15" t="inlineStr">
        <is>
          <t>Moderar</t>
        </is>
      </c>
      <c r="G25" s="13" t="inlineStr"/>
      <c r="H25" s="12" t="inlineStr">
        <is>
          <t>Preferir cortes magros</t>
        </is>
      </c>
    </row>
    <row r="26" ht="30" customHeight="1">
      <c r="B26" s="12" t="inlineStr">
        <is>
          <t>Ovo</t>
        </is>
      </c>
      <c r="C26" s="13" t="inlineStr"/>
      <c r="D26" s="13" t="inlineStr">
        <is>
          <t>1 unidade</t>
        </is>
      </c>
      <c r="E26" s="13" t="inlineStr">
        <is>
          <t>até 5x/semana</t>
        </is>
      </c>
      <c r="F26" s="14" t="inlineStr">
        <is>
          <t>Liberado</t>
        </is>
      </c>
      <c r="G26" s="13" t="inlineStr"/>
      <c r="H26" s="12" t="inlineStr"/>
    </row>
    <row r="27" ht="30" customHeight="1">
      <c r="B27" s="12" t="inlineStr">
        <is>
          <t>Feijão / leguminosas</t>
        </is>
      </c>
      <c r="C27" s="13" t="inlineStr"/>
      <c r="D27" s="13" t="inlineStr">
        <is>
          <t>1 concha</t>
        </is>
      </c>
      <c r="E27" s="13" t="inlineStr">
        <is>
          <t>1x/dia</t>
        </is>
      </c>
      <c r="F27" s="14" t="inlineStr">
        <is>
          <t>Liberado</t>
        </is>
      </c>
      <c r="G27" s="13" t="inlineStr"/>
      <c r="H27" s="12" t="inlineStr"/>
    </row>
    <row r="28" ht="106" customHeight="1">
      <c r="B28" s="12" t="inlineStr">
        <is>
          <t>Kare (curry japonês) com lombo de porco</t>
        </is>
      </c>
      <c r="C28" s="13" t="inlineStr"/>
      <c r="D28" s="13" t="inlineStr">
        <is>
          <t>1 concha (150-200 g do preparo, sem contar o arroz)</t>
        </is>
      </c>
      <c r="E28" s="13" t="inlineStr">
        <is>
          <t>1x/semana</t>
        </is>
      </c>
      <c r="F28" s="15" t="inlineStr">
        <is>
          <t>Moderar</t>
        </is>
      </c>
      <c r="G28" s="13" t="inlineStr"/>
      <c r="H28" s="12" t="inlineStr">
        <is>
          <t>O tablete de curry (roux) pronto costuma ser rico em sódio e conter gordura saturada (geralmente óleo de palma) na sua composição, além de ser espessado com farinha de trigo — é o principal ponto de atenção do prato, não o lombo suíno (corte magro) nem os vegetais (batata, cenoura, cebola). Preferir marcas com menos sódio por porção, se o rótulo estiver disponível. Sugestão gerada por IA — confirmar com nutricionista/cardiologista.</t>
        </is>
      </c>
    </row>
    <row r="29" ht="19.5" customHeight="1">
      <c r="A29" s="10" t="inlineStr">
        <is>
          <t>Laticínios</t>
        </is>
      </c>
      <c r="B29" s="11" t="n"/>
      <c r="C29" s="11" t="n"/>
      <c r="D29" s="11" t="n"/>
      <c r="E29" s="11" t="n"/>
      <c r="F29" s="11" t="n"/>
      <c r="G29" s="11" t="n"/>
      <c r="H29" s="11" t="n"/>
    </row>
    <row r="30" ht="30" customHeight="1">
      <c r="B30" s="12" t="inlineStr">
        <is>
          <t>Leite desnatado</t>
        </is>
      </c>
      <c r="C30" s="13" t="inlineStr"/>
      <c r="D30" s="13" t="inlineStr">
        <is>
          <t>200 ml</t>
        </is>
      </c>
      <c r="E30" s="13" t="inlineStr">
        <is>
          <t>1x/dia</t>
        </is>
      </c>
      <c r="F30" s="14" t="inlineStr">
        <is>
          <t>Liberado</t>
        </is>
      </c>
      <c r="G30" s="13" t="inlineStr"/>
      <c r="H30" s="12" t="inlineStr"/>
    </row>
    <row r="31" ht="49.5" customHeight="1">
      <c r="B31" s="12" t="inlineStr">
        <is>
          <t>Queijo branco frescal</t>
        </is>
      </c>
      <c r="C31" s="13" t="inlineStr"/>
      <c r="D31" s="13" t="inlineStr">
        <is>
          <t>30 g</t>
        </is>
      </c>
      <c r="E31" s="13" t="inlineStr">
        <is>
          <t>3x/semana</t>
        </is>
      </c>
      <c r="F31" s="14" t="inlineStr">
        <is>
          <t>Liberado</t>
        </is>
      </c>
      <c r="G31" s="13" t="inlineStr"/>
      <c r="H31" s="12" t="inlineStr">
        <is>
          <t>Tipo fresco (ex.: Minas frescal), sem cura/salga pesada — bem menos sódio e gordura que queijos curados. Sugestão gerada por IA — confirmar com nutricionista/cardiologista.</t>
        </is>
      </c>
    </row>
    <row r="32" ht="49.5" customHeight="1">
      <c r="B32" s="12" t="inlineStr">
        <is>
          <t>Queijo frescal light</t>
        </is>
      </c>
      <c r="C32" s="13" t="inlineStr">
        <is>
          <t>Polenghi</t>
        </is>
      </c>
      <c r="D32" s="13" t="inlineStr">
        <is>
          <t>30 g (1 fatia)</t>
        </is>
      </c>
      <c r="E32" s="13" t="inlineStr">
        <is>
          <t>3x/semana</t>
        </is>
      </c>
      <c r="F32" s="14" t="inlineStr">
        <is>
          <t>Liberado</t>
        </is>
      </c>
      <c r="G32" s="13" t="inlineStr"/>
      <c r="H32" s="12" t="inlineStr">
        <is>
          <t>Rótulo real: 41 kcal e 105 mg de sódio por porção (bem abaixo de queijos comuns), 1,5 g de gordura saturada, sem açúcar adicionado. Contém lactose; sem glúten; pode conter soja.</t>
        </is>
      </c>
    </row>
    <row r="33" ht="49.5" customHeight="1">
      <c r="B33" s="12" t="inlineStr">
        <is>
          <t>Mussarela</t>
        </is>
      </c>
      <c r="C33" s="13" t="inlineStr"/>
      <c r="D33" s="13" t="inlineStr">
        <is>
          <t>30 g</t>
        </is>
      </c>
      <c r="E33" s="13" t="inlineStr">
        <is>
          <t>2x/semana</t>
        </is>
      </c>
      <c r="F33" s="15" t="inlineStr">
        <is>
          <t>Moderar</t>
        </is>
      </c>
      <c r="G33" s="13" t="inlineStr"/>
      <c r="H33" s="12" t="inlineStr">
        <is>
          <t>Mais gordura saturada e sódio que o queijo branco frescal; prefira o frescal no dia a dia. Sugestão gerada por IA — confirmar com nutricionista/cardiologista.</t>
        </is>
      </c>
    </row>
    <row r="34" ht="30" customHeight="1">
      <c r="B34" s="12" t="inlineStr">
        <is>
          <t>Iogurte natural (desnatado, sem açúcar)</t>
        </is>
      </c>
      <c r="C34" s="13" t="inlineStr"/>
      <c r="D34" s="13" t="inlineStr">
        <is>
          <t>1 unidade</t>
        </is>
      </c>
      <c r="E34" s="13" t="inlineStr">
        <is>
          <t>1x/dia</t>
        </is>
      </c>
      <c r="F34" s="14" t="inlineStr">
        <is>
          <t>Liberado</t>
        </is>
      </c>
      <c r="G34" s="13" t="inlineStr"/>
      <c r="H34" s="12" t="inlineStr">
        <is>
          <t>Prefira sempre a versão sem açúcar adicionado</t>
        </is>
      </c>
    </row>
    <row r="35" ht="49.5" customHeight="1">
      <c r="B35" s="12" t="inlineStr">
        <is>
          <t>Iogurte grego zero</t>
        </is>
      </c>
      <c r="C35" s="13" t="inlineStr">
        <is>
          <t>Vigor</t>
        </is>
      </c>
      <c r="D35" s="13" t="inlineStr">
        <is>
          <t>90 g (1 pote)</t>
        </is>
      </c>
      <c r="E35" s="13" t="inlineStr">
        <is>
          <t>1x/dia</t>
        </is>
      </c>
      <c r="F35" s="14" t="inlineStr">
        <is>
          <t>Liberado</t>
        </is>
      </c>
      <c r="G35" s="13" t="inlineStr"/>
      <c r="H35" s="12" t="inlineStr">
        <is>
          <t>Rótulo real: 50 kcal, 6,8 g de proteína (bem mais que iogurte comum), 0,2 g de gordura, 51 mg de sódio, zero adição de açúcar/gordura, sem lactose. Contém edulcorantes (sucralose e ciclamato).</t>
        </is>
      </c>
    </row>
    <row r="36" ht="36" customHeight="1">
      <c r="B36" s="12" t="inlineStr">
        <is>
          <t>Requeijão</t>
        </is>
      </c>
      <c r="C36" s="13" t="inlineStr"/>
      <c r="D36" s="13" t="inlineStr">
        <is>
          <t>1 colher de sopa (≈15 g)</t>
        </is>
      </c>
      <c r="E36" s="13" t="inlineStr">
        <is>
          <t>2x/semana</t>
        </is>
      </c>
      <c r="F36" s="15" t="inlineStr">
        <is>
          <t>Moderar</t>
        </is>
      </c>
      <c r="G36" s="13" t="inlineStr"/>
      <c r="H36" s="12" t="inlineStr">
        <is>
          <t>Rico em gordura saturada e sódio; prefira a versão light. Sugestão gerada por IA — confirmar com nutricionista/cardiologista.</t>
        </is>
      </c>
    </row>
    <row r="37" ht="134" customHeight="1">
      <c r="B37" s="12" t="inlineStr">
        <is>
          <t>Cream cheese light</t>
        </is>
      </c>
      <c r="C37" s="13" t="inlineStr">
        <is>
          <t>Philadelphia</t>
        </is>
      </c>
      <c r="D37" s="13" t="inlineStr">
        <is>
          <t>1 colher de sopa (30 g)</t>
        </is>
      </c>
      <c r="E37" s="13" t="inlineStr">
        <is>
          <t>2x/semana</t>
        </is>
      </c>
      <c r="F37" s="15" t="inlineStr">
        <is>
          <t>Moderar</t>
        </is>
      </c>
      <c r="G37" s="13" t="inlineStr"/>
      <c r="H37" s="12" t="inlineStr">
        <is>
          <t>Rótulo real (30 g): 63 kcal, 3,5 g de gordura saturada e 0,1 g de gordura trans (mesmo sendo 'light', é bastante gordura saturada para uma porção — quase 30% do limite diário recomendado num plano de 2000 kcal), 115 mg de sódio, 1,1 g de açúcar (sem açúcar adicionado). Ingredientes: leite integral, creme de leite, leite em pó desnatado, sal, fermento lático, espessantes (goma jataí, carragena), conservador sorbato de potássio (não é o mesmo que sal light/cloreto de potássio — sem interação com o Enalapril). Sugestão gerada por IA — confirmar com nutricionista/cardiologista.</t>
        </is>
      </c>
    </row>
    <row r="38" ht="19.5" customHeight="1">
      <c r="A38" s="10" t="inlineStr">
        <is>
          <t>Bebidas</t>
        </is>
      </c>
      <c r="B38" s="11" t="n"/>
      <c r="C38" s="11" t="n"/>
      <c r="D38" s="11" t="n"/>
      <c r="E38" s="11" t="n"/>
      <c r="F38" s="11" t="n"/>
      <c r="G38" s="11" t="n"/>
      <c r="H38" s="11" t="n"/>
    </row>
    <row r="39" ht="30" customHeight="1">
      <c r="B39" s="12" t="inlineStr">
        <is>
          <t>Água</t>
        </is>
      </c>
      <c r="C39" s="13" t="inlineStr"/>
      <c r="D39" s="13" t="inlineStr">
        <is>
          <t>à vontade</t>
        </is>
      </c>
      <c r="E39" s="13" t="inlineStr">
        <is>
          <t>todos os dias</t>
        </is>
      </c>
      <c r="F39" s="14" t="inlineStr">
        <is>
          <t>Liberado</t>
        </is>
      </c>
      <c r="G39" s="13" t="inlineStr"/>
      <c r="H39" s="12" t="inlineStr"/>
    </row>
    <row r="40" ht="30" customHeight="1">
      <c r="B40" s="12" t="inlineStr">
        <is>
          <t>Refrigerante zero</t>
        </is>
      </c>
      <c r="C40" s="13" t="inlineStr"/>
      <c r="D40" s="13" t="inlineStr">
        <is>
          <t>200 ml</t>
        </is>
      </c>
      <c r="E40" s="13" t="inlineStr">
        <is>
          <t>1x/dia</t>
        </is>
      </c>
      <c r="F40" s="15" t="inlineStr">
        <is>
          <t>Moderar</t>
        </is>
      </c>
      <c r="G40" s="13" t="inlineStr"/>
      <c r="H40" s="12" t="inlineStr">
        <is>
          <t>Sugestão gerada por IA — confirmar com nutricionista/cardiologista</t>
        </is>
      </c>
    </row>
    <row r="41" ht="30" customHeight="1">
      <c r="B41" s="12" t="inlineStr">
        <is>
          <t>Café sem açúcar</t>
        </is>
      </c>
      <c r="C41" s="13" t="inlineStr"/>
      <c r="D41" s="13" t="inlineStr">
        <is>
          <t>1 xícara</t>
        </is>
      </c>
      <c r="E41" s="13" t="inlineStr">
        <is>
          <t>2x/dia</t>
        </is>
      </c>
      <c r="F41" s="14" t="inlineStr">
        <is>
          <t>Liberado</t>
        </is>
      </c>
      <c r="G41" s="13" t="inlineStr"/>
      <c r="H41" s="12" t="inlineStr"/>
    </row>
    <row r="42" ht="30" customHeight="1">
      <c r="B42" s="12" t="inlineStr">
        <is>
          <t>Suco natural sem açúcar</t>
        </is>
      </c>
      <c r="C42" s="13" t="inlineStr"/>
      <c r="D42" s="13" t="inlineStr">
        <is>
          <t>200 ml</t>
        </is>
      </c>
      <c r="E42" s="13" t="inlineStr">
        <is>
          <t>3x/semana</t>
        </is>
      </c>
      <c r="F42" s="15" t="inlineStr">
        <is>
          <t>Moderar</t>
        </is>
      </c>
      <c r="G42" s="13" t="inlineStr"/>
      <c r="H42" s="12" t="inlineStr">
        <is>
          <t>Preferir a fruta inteira, que tem mais fibra</t>
        </is>
      </c>
    </row>
    <row r="43" ht="63.75" customHeight="1">
      <c r="B43" s="12" t="inlineStr">
        <is>
          <t>Suco de toranja / grapefruit</t>
        </is>
      </c>
      <c r="C43" s="13" t="inlineStr"/>
      <c r="D43" s="13" t="inlineStr">
        <is>
          <t>-</t>
        </is>
      </c>
      <c r="E43" s="13" t="inlineStr">
        <is>
          <t>evitar</t>
        </is>
      </c>
      <c r="F43" s="17" t="inlineStr">
        <is>
          <t>Evitar</t>
        </is>
      </c>
      <c r="G43" s="13" t="inlineStr"/>
      <c r="H43"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44" ht="36" customHeight="1">
      <c r="B44" s="12" t="inlineStr">
        <is>
          <t>Bebida alcoólica</t>
        </is>
      </c>
      <c r="C44" s="13" t="inlineStr"/>
      <c r="D44" s="13" t="inlineStr">
        <is>
          <t>-</t>
        </is>
      </c>
      <c r="E44" s="13" t="inlineStr">
        <is>
          <t>evitar</t>
        </is>
      </c>
      <c r="F44" s="17" t="inlineStr">
        <is>
          <t>Evitar</t>
        </is>
      </c>
      <c r="G44" s="13" t="inlineStr"/>
      <c r="H44" s="12" t="inlineStr">
        <is>
          <t>Piora diretamente os triglicerídeos; soma-se ao risco de sangramento da Aspirina + Ticagrelor.</t>
        </is>
      </c>
    </row>
    <row r="45" ht="19.5" customHeight="1">
      <c r="A45" s="10" t="inlineStr">
        <is>
          <t>Doces e Sobremesas</t>
        </is>
      </c>
      <c r="B45" s="11" t="n"/>
      <c r="C45" s="11" t="n"/>
      <c r="D45" s="11" t="n"/>
      <c r="E45" s="11" t="n"/>
      <c r="F45" s="11" t="n"/>
      <c r="G45" s="11" t="n"/>
      <c r="H45" s="11" t="n"/>
    </row>
    <row r="46" ht="30" customHeight="1">
      <c r="B46" s="12" t="inlineStr">
        <is>
          <t>Açúcar refinado</t>
        </is>
      </c>
      <c r="C46" s="13" t="inlineStr"/>
      <c r="D46" s="13" t="inlineStr">
        <is>
          <t>-</t>
        </is>
      </c>
      <c r="E46" s="13" t="inlineStr">
        <is>
          <t>evitar</t>
        </is>
      </c>
      <c r="F46" s="17" t="inlineStr">
        <is>
          <t>Evitar</t>
        </is>
      </c>
      <c r="G46" s="13" t="inlineStr"/>
      <c r="H46" s="12" t="inlineStr">
        <is>
          <t>Impacto direto nos triglicerídeos</t>
        </is>
      </c>
    </row>
    <row r="47" ht="30" customHeight="1">
      <c r="B47" s="12" t="inlineStr">
        <is>
          <t>Doces industrializados</t>
        </is>
      </c>
      <c r="C47" s="13" t="inlineStr"/>
      <c r="D47" s="13" t="inlineStr">
        <is>
          <t>-</t>
        </is>
      </c>
      <c r="E47" s="13" t="inlineStr">
        <is>
          <t>evitar</t>
        </is>
      </c>
      <c r="F47" s="17" t="inlineStr">
        <is>
          <t>Evitar</t>
        </is>
      </c>
      <c r="G47" s="13" t="inlineStr"/>
      <c r="H47" s="12" t="inlineStr"/>
    </row>
    <row r="48" ht="30" customHeight="1">
      <c r="B48" s="12" t="inlineStr">
        <is>
          <t>Chocolate amargo (70%+)</t>
        </is>
      </c>
      <c r="C48" s="13" t="inlineStr"/>
      <c r="D48" s="13" t="inlineStr">
        <is>
          <t>10 g</t>
        </is>
      </c>
      <c r="E48" s="13" t="inlineStr">
        <is>
          <t>2x/semana</t>
        </is>
      </c>
      <c r="F48" s="15" t="inlineStr">
        <is>
          <t>Moderar</t>
        </is>
      </c>
      <c r="G48" s="13" t="inlineStr"/>
      <c r="H48" s="12" t="inlineStr">
        <is>
          <t>Sugestão gerada por IA — confirmar com nutricionista/cardiologista</t>
        </is>
      </c>
    </row>
    <row r="49" ht="19.5" customHeight="1">
      <c r="A49" s="10" t="inlineStr">
        <is>
          <t>Gorduras e Temperos</t>
        </is>
      </c>
      <c r="B49" s="11" t="n"/>
      <c r="C49" s="11" t="n"/>
      <c r="D49" s="11" t="n"/>
      <c r="E49" s="11" t="n"/>
      <c r="F49" s="11" t="n"/>
      <c r="G49" s="11" t="n"/>
      <c r="H49" s="11" t="n"/>
    </row>
    <row r="50" ht="30" customHeight="1">
      <c r="B50" s="12" t="inlineStr">
        <is>
          <t>Azeite de oliva extra virgem</t>
        </is>
      </c>
      <c r="C50" s="13" t="inlineStr"/>
      <c r="D50" s="13" t="inlineStr">
        <is>
          <t>1-2 colheres de sopa</t>
        </is>
      </c>
      <c r="E50" s="13" t="inlineStr">
        <is>
          <t>1x/dia</t>
        </is>
      </c>
      <c r="F50" s="14" t="inlineStr">
        <is>
          <t>Liberado</t>
        </is>
      </c>
      <c r="G50" s="13" t="inlineStr"/>
      <c r="H50" s="12" t="inlineStr"/>
    </row>
    <row r="51" ht="30" customHeight="1">
      <c r="B51" s="12" t="inlineStr">
        <is>
          <t>Manteiga</t>
        </is>
      </c>
      <c r="C51" s="13" t="inlineStr"/>
      <c r="D51" s="13" t="inlineStr">
        <is>
          <t>-</t>
        </is>
      </c>
      <c r="E51" s="13" t="inlineStr">
        <is>
          <t>evitar</t>
        </is>
      </c>
      <c r="F51" s="17" t="inlineStr">
        <is>
          <t>Evitar</t>
        </is>
      </c>
      <c r="G51" s="13" t="inlineStr"/>
      <c r="H51" s="12" t="inlineStr">
        <is>
          <t>Preferir azeite</t>
        </is>
      </c>
    </row>
    <row r="52" ht="30" customHeight="1">
      <c r="B52" s="12" t="inlineStr">
        <is>
          <t>Sal</t>
        </is>
      </c>
      <c r="C52" s="13" t="inlineStr"/>
      <c r="D52" s="13" t="inlineStr">
        <is>
          <t>&lt; 5 g no total</t>
        </is>
      </c>
      <c r="E52" s="13" t="inlineStr">
        <is>
          <t>todos os dias</t>
        </is>
      </c>
      <c r="F52" s="15" t="inlineStr">
        <is>
          <t>Moderar</t>
        </is>
      </c>
      <c r="G52" s="13" t="inlineStr"/>
      <c r="H52" s="12" t="inlineStr">
        <is>
          <t>Somar sal de cozinha + industrializados</t>
        </is>
      </c>
    </row>
    <row r="53" ht="78" customHeight="1">
      <c r="B53" s="12" t="inlineStr">
        <is>
          <t>Creme de tahine</t>
        </is>
      </c>
      <c r="C53" s="13" t="inlineStr"/>
      <c r="D53" s="13" t="inlineStr">
        <is>
          <t>1-2 colheres de sopa (receita: 4 col. sopa de tahine, 1 col. sopa de limão, 1 col. sopa de azeite, sal e água)</t>
        </is>
      </c>
      <c r="E53" s="13" t="inlineStr">
        <is>
          <t>3x/semana</t>
        </is>
      </c>
      <c r="F53" s="14" t="inlineStr">
        <is>
          <t>Liberado</t>
        </is>
      </c>
      <c r="G53" s="13" t="inlineStr"/>
      <c r="H53" s="12" t="inlineStr">
        <is>
          <t>Pasta de gergelim (tahine) + azeite: gorduras majoritariamente insaturadas, sem açúcar, boa fonte de cálcio/fibra — combina com o padrão de dieta mediterrânea recomendado. É calórico (rico em gordura), por isso porção moderada; controlar a quantidade de sal adicionado na receita. Sugestão gerada por IA — confirmar com nutricionista/cardiologista.</t>
        </is>
      </c>
    </row>
    <row r="54" ht="36" customHeight="1">
      <c r="B54" s="12" t="inlineStr">
        <is>
          <t>Sal light / substituto de sal (cloreto de potássio)</t>
        </is>
      </c>
      <c r="C54" s="13" t="inlineStr"/>
      <c r="D54" s="13" t="inlineStr">
        <is>
          <t>-</t>
        </is>
      </c>
      <c r="E54" s="13" t="inlineStr">
        <is>
          <t>evitar</t>
        </is>
      </c>
      <c r="F54" s="17" t="inlineStr">
        <is>
          <t>Evitar</t>
        </is>
      </c>
      <c r="G54" s="13" t="inlineStr"/>
      <c r="H54" s="12" t="inlineStr">
        <is>
          <t>Enalapril já tende a elevar o potássio; combinado com esse produto o risco de hipercalemia aumenta, ainda mais com a função renal pendente.</t>
        </is>
      </c>
    </row>
    <row r="55" ht="30" customHeight="1">
      <c r="B55" s="12" t="inlineStr">
        <is>
          <t>Ervas e temperos naturais</t>
        </is>
      </c>
      <c r="C55" s="13" t="inlineStr"/>
      <c r="D55" s="13" t="inlineStr">
        <is>
          <t>à vontade</t>
        </is>
      </c>
      <c r="E55" s="13" t="inlineStr">
        <is>
          <t>todos os dias</t>
        </is>
      </c>
      <c r="F55" s="14" t="inlineStr">
        <is>
          <t>Liberado</t>
        </is>
      </c>
      <c r="G55" s="13" t="inlineStr"/>
      <c r="H55" s="12" t="inlineStr"/>
    </row>
    <row r="56" ht="19.5" customHeight="1">
      <c r="A56" s="10" t="inlineStr">
        <is>
          <t>Vegetais e Verduras</t>
        </is>
      </c>
      <c r="B56" s="11" t="n"/>
      <c r="C56" s="11" t="n"/>
      <c r="D56" s="11" t="n"/>
      <c r="E56" s="11" t="n"/>
      <c r="F56" s="11" t="n"/>
      <c r="G56" s="11" t="n"/>
      <c r="H56" s="11" t="n"/>
    </row>
    <row r="57" ht="36" customHeight="1">
      <c r="B57" s="12" t="inlineStr">
        <is>
          <t>Vegetais e verduras em geral</t>
        </is>
      </c>
      <c r="C57" s="13" t="inlineStr"/>
      <c r="D57" s="13" t="inlineStr">
        <is>
          <t>à vontade</t>
        </is>
      </c>
      <c r="E57" s="13" t="inlineStr">
        <is>
          <t>todos os dias</t>
        </is>
      </c>
      <c r="F57" s="14" t="inlineStr">
        <is>
          <t>Liberado</t>
        </is>
      </c>
      <c r="G57" s="13" t="inlineStr"/>
      <c r="H57" s="12" t="inlineStr">
        <is>
          <t>Se entrar anticoagulante na medicação, revisar consumo de verde-escuros ricos em vitamina K</t>
        </is>
      </c>
    </row>
    <row r="58" ht="36" customHeight="1">
      <c r="B58" s="12" t="inlineStr">
        <is>
          <t>Brócolis</t>
        </is>
      </c>
      <c r="C58" s="13" t="inlineStr"/>
      <c r="D58" s="13" t="inlineStr">
        <is>
          <t>à vontade</t>
        </is>
      </c>
      <c r="E58" s="13" t="inlineStr">
        <is>
          <t>todos os dias</t>
        </is>
      </c>
      <c r="F58" s="14" t="inlineStr">
        <is>
          <t>Liberado</t>
        </is>
      </c>
      <c r="G58" s="13" t="inlineStr"/>
      <c r="H58" s="12" t="inlineStr">
        <is>
          <t>Rico em fibras; combina bem com o padrão de dieta cardioprotetora recomendado.</t>
        </is>
      </c>
    </row>
    <row r="59" ht="36" customHeight="1">
      <c r="B59" s="12" t="inlineStr">
        <is>
          <t>Couve</t>
        </is>
      </c>
      <c r="C59" s="13" t="inlineStr"/>
      <c r="D59" s="13" t="inlineStr">
        <is>
          <t>à vontade</t>
        </is>
      </c>
      <c r="E59" s="13" t="inlineStr">
        <is>
          <t>todos os dias</t>
        </is>
      </c>
      <c r="F59" s="14" t="inlineStr">
        <is>
          <t>Liberado</t>
        </is>
      </c>
      <c r="G59" s="13" t="inlineStr"/>
      <c r="H59" s="12" t="inlineStr">
        <is>
          <t>Folha verde-escura rica em vitamina K — sem impacto hoje (nenhum anticoagulante em uso), mas vale reavaliar se isso mudar no tratamento.</t>
        </is>
      </c>
    </row>
    <row r="60" ht="36" customHeight="1">
      <c r="B60" s="12" t="inlineStr">
        <is>
          <t>Espinafre</t>
        </is>
      </c>
      <c r="C60" s="13" t="inlineStr"/>
      <c r="D60" s="13" t="inlineStr">
        <is>
          <t>à vontade</t>
        </is>
      </c>
      <c r="E60" s="13" t="inlineStr">
        <is>
          <t>todos os dias</t>
        </is>
      </c>
      <c r="F60" s="14" t="inlineStr">
        <is>
          <t>Liberado</t>
        </is>
      </c>
      <c r="G60" s="13" t="inlineStr"/>
      <c r="H60" s="12" t="inlineStr">
        <is>
          <t>Folha verde-escura rica em vitamina K — sem impacto hoje (nenhum anticoagulante em uso), mas vale reavaliar se isso mudar no tratamento.</t>
        </is>
      </c>
    </row>
    <row r="61" ht="30" customHeight="1">
      <c r="B61" s="12" t="inlineStr">
        <is>
          <t>Tomate</t>
        </is>
      </c>
      <c r="C61" s="13" t="inlineStr"/>
      <c r="D61" s="13" t="inlineStr">
        <is>
          <t>à vontade</t>
        </is>
      </c>
      <c r="E61" s="13" t="inlineStr">
        <is>
          <t>todos os dias</t>
        </is>
      </c>
      <c r="F61" s="14" t="inlineStr">
        <is>
          <t>Liberado</t>
        </is>
      </c>
      <c r="G61" s="13" t="inlineStr"/>
      <c r="H61" s="12" t="inlineStr"/>
    </row>
    <row r="62" ht="30" customHeight="1">
      <c r="B62" s="12" t="inlineStr">
        <is>
          <t>Cenoura</t>
        </is>
      </c>
      <c r="C62" s="13" t="inlineStr"/>
      <c r="D62" s="13" t="inlineStr">
        <is>
          <t>à vontade</t>
        </is>
      </c>
      <c r="E62" s="13" t="inlineStr">
        <is>
          <t>todos os dias</t>
        </is>
      </c>
      <c r="F62" s="14" t="inlineStr">
        <is>
          <t>Liberado</t>
        </is>
      </c>
      <c r="G62" s="13" t="inlineStr"/>
      <c r="H62" s="12" t="inlineStr"/>
    </row>
    <row r="63" ht="30" customHeight="1">
      <c r="B63" s="12" t="inlineStr">
        <is>
          <t>Abobrinha</t>
        </is>
      </c>
      <c r="C63" s="13" t="inlineStr"/>
      <c r="D63" s="13" t="inlineStr">
        <is>
          <t>à vontade</t>
        </is>
      </c>
      <c r="E63" s="13" t="inlineStr">
        <is>
          <t>todos os dias</t>
        </is>
      </c>
      <c r="F63" s="14" t="inlineStr">
        <is>
          <t>Liberado</t>
        </is>
      </c>
      <c r="G63" s="13" t="inlineStr"/>
      <c r="H63" s="12" t="inlineStr"/>
    </row>
    <row r="64" ht="30" customHeight="1">
      <c r="B64" s="12" t="inlineStr">
        <is>
          <t>Beterraba</t>
        </is>
      </c>
      <c r="C64" s="13" t="inlineStr"/>
      <c r="D64" s="13" t="inlineStr">
        <is>
          <t>à vontade</t>
        </is>
      </c>
      <c r="E64" s="13" t="inlineStr">
        <is>
          <t>3x/semana</t>
        </is>
      </c>
      <c r="F64" s="14" t="inlineStr">
        <is>
          <t>Liberado</t>
        </is>
      </c>
      <c r="G64" s="13" t="inlineStr"/>
      <c r="H64" s="12" t="inlineStr"/>
    </row>
    <row r="65" ht="30" customHeight="1">
      <c r="B65" s="12" t="inlineStr">
        <is>
          <t>Alface e folhas verdes (rúcula, agrião)</t>
        </is>
      </c>
      <c r="C65" s="13" t="inlineStr"/>
      <c r="D65" s="13" t="inlineStr">
        <is>
          <t>à vontade</t>
        </is>
      </c>
      <c r="E65" s="13" t="inlineStr">
        <is>
          <t>todos os dias</t>
        </is>
      </c>
      <c r="F65" s="14" t="inlineStr">
        <is>
          <t>Liberado</t>
        </is>
      </c>
      <c r="G65" s="13" t="inlineStr"/>
      <c r="H65" s="12" t="inlineStr"/>
    </row>
    <row r="66" ht="30" customHeight="1">
      <c r="B66" s="12" t="inlineStr">
        <is>
          <t>Pepino</t>
        </is>
      </c>
      <c r="C66" s="13" t="inlineStr"/>
      <c r="D66" s="13" t="inlineStr">
        <is>
          <t>à vontade</t>
        </is>
      </c>
      <c r="E66" s="13" t="inlineStr">
        <is>
          <t>todos os dias</t>
        </is>
      </c>
      <c r="F66" s="14" t="inlineStr">
        <is>
          <t>Liberado</t>
        </is>
      </c>
      <c r="G66" s="13" t="inlineStr"/>
      <c r="H66" s="12" t="inlineStr"/>
    </row>
    <row r="67" ht="30" customHeight="1">
      <c r="B67" s="12" t="inlineStr">
        <is>
          <t>Berinjela</t>
        </is>
      </c>
      <c r="C67" s="13" t="inlineStr"/>
      <c r="D67" s="13" t="inlineStr">
        <is>
          <t>à vontade</t>
        </is>
      </c>
      <c r="E67" s="13" t="inlineStr">
        <is>
          <t>3x/semana</t>
        </is>
      </c>
      <c r="F67" s="14" t="inlineStr">
        <is>
          <t>Liberado</t>
        </is>
      </c>
      <c r="G67" s="13" t="inlineStr"/>
      <c r="H67" s="12" t="inlineStr"/>
    </row>
    <row r="68" ht="30" customHeight="1">
      <c r="B68" s="12" t="inlineStr">
        <is>
          <t>Pimentão</t>
        </is>
      </c>
      <c r="C68" s="13" t="inlineStr"/>
      <c r="D68" s="13" t="inlineStr">
        <is>
          <t>à vontade</t>
        </is>
      </c>
      <c r="E68" s="13" t="inlineStr">
        <is>
          <t>todos os dias</t>
        </is>
      </c>
      <c r="F68" s="14" t="inlineStr">
        <is>
          <t>Liberado</t>
        </is>
      </c>
      <c r="G68" s="13" t="inlineStr"/>
      <c r="H68" s="12" t="inlineStr"/>
    </row>
    <row r="69" ht="30" customHeight="1">
      <c r="B69" s="12" t="inlineStr">
        <is>
          <t>Repolho</t>
        </is>
      </c>
      <c r="C69" s="13" t="inlineStr"/>
      <c r="D69" s="13" t="inlineStr">
        <is>
          <t>à vontade</t>
        </is>
      </c>
      <c r="E69" s="13" t="inlineStr">
        <is>
          <t>todos os dias</t>
        </is>
      </c>
      <c r="F69" s="14" t="inlineStr">
        <is>
          <t>Liberado</t>
        </is>
      </c>
      <c r="G69" s="13" t="inlineStr"/>
      <c r="H69" s="12" t="inlineStr"/>
    </row>
    <row r="71" ht="36" customHeight="1">
      <c r="A71" s="18"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45:H45"/>
    <mergeCell ref="A4:H4"/>
    <mergeCell ref="A56:H56"/>
    <mergeCell ref="A29:H29"/>
    <mergeCell ref="G2:H2"/>
    <mergeCell ref="A20:H20"/>
    <mergeCell ref="A38:H38"/>
    <mergeCell ref="A71:H71"/>
    <mergeCell ref="A11:H11"/>
    <mergeCell ref="A49:H49"/>
    <mergeCell ref="A1:H1"/>
  </mergeCells>
  <dataValidations count="1">
    <dataValidation sqref="G5 G6 G7 G8 G9 G10 G12 G13 G14 G15 G16 G17 G18 G19 G21 G22 G23 G24 G25 G26 G27 G28 G30 G31 G32 G33 G34 G35 G36 G37 G39 G40 G41 G42 G43 G44 G46 G47 G48 G50 G51 G52 G53 G54 G55 G57 G58 G59 G60 G61 G62 G63 G64 G65 G66 G67 G68 G69"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5.5" customHeight="1">
      <c r="A1" s="1" t="inlineStr">
        <is>
          <t>Montar uma Refeição — escolha os alimentos de cada refeição</t>
        </is>
      </c>
    </row>
    <row r="2" ht="48" customHeight="1">
      <c r="A2" s="18"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19.5" customHeight="1">
      <c r="A3" s="19" t="inlineStr">
        <is>
          <t>Legenda:</t>
        </is>
      </c>
      <c r="B3" s="20" t="inlineStr">
        <is>
          <t>Liberado</t>
        </is>
      </c>
      <c r="C3" s="21" t="inlineStr">
        <is>
          <t>Moderar</t>
        </is>
      </c>
      <c r="D3" s="22" t="inlineStr">
        <is>
          <t>Evitar</t>
        </is>
      </c>
      <c r="F3" s="23" t="inlineStr">
        <is>
          <t>⚠ Conflito</t>
        </is>
      </c>
    </row>
    <row r="5" ht="19.5" customHeight="1">
      <c r="A5" s="24" t="inlineStr">
        <is>
          <t>CAFÉ DA MANHÃ</t>
        </is>
      </c>
      <c r="B5" s="11" t="n"/>
      <c r="C5" s="11" t="n"/>
      <c r="D5" s="11" t="n"/>
      <c r="E5" s="11" t="n"/>
      <c r="F5" s="11" t="n"/>
      <c r="G5" s="11" t="n"/>
      <c r="H5" s="11" t="n"/>
    </row>
    <row r="6" ht="30" customHeight="1">
      <c r="A6" s="25" t="inlineStr">
        <is>
          <t>Nº</t>
        </is>
      </c>
      <c r="B6" s="25" t="inlineStr">
        <is>
          <t>Alimento</t>
        </is>
      </c>
      <c r="C6" s="25" t="inlineStr">
        <is>
          <t>Categoria</t>
        </is>
      </c>
      <c r="D6" s="25" t="inlineStr">
        <is>
          <t>Porção sugerida</t>
        </is>
      </c>
      <c r="E6" s="25" t="inlineStr">
        <is>
          <t>Quantidade a comer</t>
        </is>
      </c>
      <c r="F6" s="25" t="inlineStr">
        <is>
          <t>Classificação</t>
        </is>
      </c>
      <c r="G6" s="25" t="inlineStr">
        <is>
          <t>Sugestão (com base no item anterior)</t>
        </is>
      </c>
      <c r="H6" s="25" t="inlineStr">
        <is>
          <t>Conflito</t>
        </is>
      </c>
    </row>
    <row r="7" ht="25.5" customHeight="1">
      <c r="A7" s="26" t="n">
        <v>1</v>
      </c>
      <c r="B7" s="27" t="n"/>
      <c r="C7" s="28">
        <f>IFERROR(INDEX(Ref_Alimentos!$B$2:$B$101,MATCH($B7,Ref_Alimentos!$A$2:$A$101,0)),"")</f>
        <v/>
      </c>
      <c r="D7" s="29">
        <f>IFERROR(INDEX(Ref_Alimentos!$D$2:$D$101,MATCH($B7,Ref_Alimentos!$A$2:$A$101,0)),"")</f>
        <v/>
      </c>
      <c r="E7" s="26" t="n"/>
      <c r="F7" s="30">
        <f>IFERROR(INDEX(Ref_Alimentos!$C$2:$C$101,MATCH($B7,Ref_Alimentos!$A$2:$A$101,0)),"")</f>
        <v/>
      </c>
      <c r="G7" s="31" t="inlineStr"/>
      <c r="H7" s="32">
        <f>IF($B7="","",IF($F7="Evitar","⚠ Conflito",IF(AND($F7="Moderar",SUMPRODUCT(($B$7:$B$11&lt;&gt;"")*(ROW($B$7:$B$11)&lt;&gt;ROW($B7))*(($F$7:$F$11="Moderar")+($F$7:$F$11="Evitar")))&gt;0),"⚠ Conflito","")))</f>
        <v/>
      </c>
    </row>
    <row r="8" ht="25.5" customHeight="1">
      <c r="A8" s="26" t="n">
        <v>2</v>
      </c>
      <c r="B8" s="27" t="n"/>
      <c r="C8" s="28">
        <f>IFERROR(INDEX(Ref_Alimentos!$B$2:$B$101,MATCH($B8,Ref_Alimentos!$A$2:$A$101,0)),"")</f>
        <v/>
      </c>
      <c r="D8" s="29">
        <f>IFERROR(INDEX(Ref_Alimentos!$D$2:$D$101,MATCH($B8,Ref_Alimentos!$A$2:$A$101,0)),"")</f>
        <v/>
      </c>
      <c r="E8" s="26" t="n"/>
      <c r="F8" s="30">
        <f>IFERROR(INDEX(Ref_Alimentos!$C$2:$C$101,MATCH($B8,Ref_Alimentos!$A$2:$A$101,0)),"")</f>
        <v/>
      </c>
      <c r="G8" s="31">
        <f>IF($B7="","",IFERROR(INDEX(Ref_Alimentos!$R$2:$R$60,MATCH(IFERROR(INDEX(Ref_Alimentos!$U$2:$U$9,MATCH($C7,Ref_Alimentos!$T$2:$T$9,0)),"")&amp;"|"&amp;"Café da manhã",Ref_Alimentos!$Q$2:$Q$60,0)),""))</f>
        <v/>
      </c>
      <c r="H8" s="32">
        <f>IF($B8="","",IF($F8="Evitar","⚠ Conflito",IF(AND($F8="Moderar",SUMPRODUCT(($B$7:$B$11&lt;&gt;"")*(ROW($B$7:$B$11)&lt;&gt;ROW($B8))*(($F$7:$F$11="Moderar")+($F$7:$F$11="Evitar")))&gt;0),"⚠ Conflito","")))</f>
        <v/>
      </c>
    </row>
    <row r="9" ht="25.5" customHeight="1">
      <c r="A9" s="26" t="n">
        <v>3</v>
      </c>
      <c r="B9" s="27" t="n"/>
      <c r="C9" s="28">
        <f>IFERROR(INDEX(Ref_Alimentos!$B$2:$B$101,MATCH($B9,Ref_Alimentos!$A$2:$A$101,0)),"")</f>
        <v/>
      </c>
      <c r="D9" s="29">
        <f>IFERROR(INDEX(Ref_Alimentos!$D$2:$D$101,MATCH($B9,Ref_Alimentos!$A$2:$A$101,0)),"")</f>
        <v/>
      </c>
      <c r="E9" s="26" t="n"/>
      <c r="F9" s="30">
        <f>IFERROR(INDEX(Ref_Alimentos!$C$2:$C$101,MATCH($B9,Ref_Alimentos!$A$2:$A$101,0)),"")</f>
        <v/>
      </c>
      <c r="G9" s="31">
        <f>IF($B8="","",IFERROR(INDEX(Ref_Alimentos!$R$2:$R$60,MATCH(IFERROR(INDEX(Ref_Alimentos!$U$2:$U$9,MATCH($C8,Ref_Alimentos!$T$2:$T$9,0)),"")&amp;"|"&amp;"Café da manhã",Ref_Alimentos!$Q$2:$Q$60,0)),""))</f>
        <v/>
      </c>
      <c r="H9" s="32">
        <f>IF($B9="","",IF($F9="Evitar","⚠ Conflito",IF(AND($F9="Moderar",SUMPRODUCT(($B$7:$B$11&lt;&gt;"")*(ROW($B$7:$B$11)&lt;&gt;ROW($B9))*(($F$7:$F$11="Moderar")+($F$7:$F$11="Evitar")))&gt;0),"⚠ Conflito","")))</f>
        <v/>
      </c>
    </row>
    <row r="10" ht="25.5" customHeight="1">
      <c r="A10" s="26" t="n">
        <v>4</v>
      </c>
      <c r="B10" s="27" t="n"/>
      <c r="C10" s="28">
        <f>IFERROR(INDEX(Ref_Alimentos!$B$2:$B$101,MATCH($B10,Ref_Alimentos!$A$2:$A$101,0)),"")</f>
        <v/>
      </c>
      <c r="D10" s="29">
        <f>IFERROR(INDEX(Ref_Alimentos!$D$2:$D$101,MATCH($B10,Ref_Alimentos!$A$2:$A$101,0)),"")</f>
        <v/>
      </c>
      <c r="E10" s="26" t="n"/>
      <c r="F10" s="30">
        <f>IFERROR(INDEX(Ref_Alimentos!$C$2:$C$101,MATCH($B10,Ref_Alimentos!$A$2:$A$101,0)),"")</f>
        <v/>
      </c>
      <c r="G10" s="31">
        <f>IF($B9="","",IFERROR(INDEX(Ref_Alimentos!$R$2:$R$60,MATCH(IFERROR(INDEX(Ref_Alimentos!$U$2:$U$9,MATCH($C9,Ref_Alimentos!$T$2:$T$9,0)),"")&amp;"|"&amp;"Café da manhã",Ref_Alimentos!$Q$2:$Q$60,0)),""))</f>
        <v/>
      </c>
      <c r="H10" s="32">
        <f>IF($B10="","",IF($F10="Evitar","⚠ Conflito",IF(AND($F10="Moderar",SUMPRODUCT(($B$7:$B$11&lt;&gt;"")*(ROW($B$7:$B$11)&lt;&gt;ROW($B10))*(($F$7:$F$11="Moderar")+($F$7:$F$11="Evitar")))&gt;0),"⚠ Conflito","")))</f>
        <v/>
      </c>
    </row>
    <row r="11" ht="25.5" customHeight="1">
      <c r="A11" s="26" t="n">
        <v>5</v>
      </c>
      <c r="B11" s="27" t="n"/>
      <c r="C11" s="28">
        <f>IFERROR(INDEX(Ref_Alimentos!$B$2:$B$101,MATCH($B11,Ref_Alimentos!$A$2:$A$101,0)),"")</f>
        <v/>
      </c>
      <c r="D11" s="29">
        <f>IFERROR(INDEX(Ref_Alimentos!$D$2:$D$101,MATCH($B11,Ref_Alimentos!$A$2:$A$101,0)),"")</f>
        <v/>
      </c>
      <c r="E11" s="26" t="n"/>
      <c r="F11" s="30">
        <f>IFERROR(INDEX(Ref_Alimentos!$C$2:$C$101,MATCH($B11,Ref_Alimentos!$A$2:$A$101,0)),"")</f>
        <v/>
      </c>
      <c r="G11" s="31">
        <f>IF($B10="","",IFERROR(INDEX(Ref_Alimentos!$R$2:$R$60,MATCH(IFERROR(INDEX(Ref_Alimentos!$U$2:$U$9,MATCH($C10,Ref_Alimentos!$T$2:$T$9,0)),"")&amp;"|"&amp;"Café da manhã",Ref_Alimentos!$Q$2:$Q$60,0)),""))</f>
        <v/>
      </c>
      <c r="H11" s="32">
        <f>IF($B11="","",IF($F11="Evitar","⚠ Conflito",IF(AND($F11="Moderar",SUMPRODUCT(($B$7:$B$11&lt;&gt;"")*(ROW($B$7:$B$11)&lt;&gt;ROW($B11))*(($F$7:$F$11="Moderar")+($F$7:$F$11="Evitar")))&gt;0),"⚠ Conflito","")))</f>
        <v/>
      </c>
    </row>
    <row r="13" ht="19.5" customHeight="1">
      <c r="A13" s="24" t="inlineStr">
        <is>
          <t>ALMOÇO</t>
        </is>
      </c>
      <c r="B13" s="11" t="n"/>
      <c r="C13" s="11" t="n"/>
      <c r="D13" s="11" t="n"/>
      <c r="E13" s="11" t="n"/>
      <c r="F13" s="11" t="n"/>
      <c r="G13" s="11" t="n"/>
      <c r="H13" s="11" t="n"/>
    </row>
    <row r="14" ht="30" customHeight="1">
      <c r="A14" s="25" t="inlineStr">
        <is>
          <t>Nº</t>
        </is>
      </c>
      <c r="B14" s="25" t="inlineStr">
        <is>
          <t>Alimento</t>
        </is>
      </c>
      <c r="C14" s="25" t="inlineStr">
        <is>
          <t>Categoria</t>
        </is>
      </c>
      <c r="D14" s="25" t="inlineStr">
        <is>
          <t>Porção sugerida</t>
        </is>
      </c>
      <c r="E14" s="25" t="inlineStr">
        <is>
          <t>Quantidade a comer</t>
        </is>
      </c>
      <c r="F14" s="25" t="inlineStr">
        <is>
          <t>Classificação</t>
        </is>
      </c>
      <c r="G14" s="25" t="inlineStr">
        <is>
          <t>Sugestão (com base no item anterior)</t>
        </is>
      </c>
      <c r="H14" s="25" t="inlineStr">
        <is>
          <t>Conflito</t>
        </is>
      </c>
    </row>
    <row r="15" ht="25.5" customHeight="1">
      <c r="A15" s="26" t="n">
        <v>1</v>
      </c>
      <c r="B15" s="27" t="n"/>
      <c r="C15" s="28">
        <f>IFERROR(INDEX(Ref_Alimentos!$B$2:$B$101,MATCH($B15,Ref_Alimentos!$A$2:$A$101,0)),"")</f>
        <v/>
      </c>
      <c r="D15" s="29">
        <f>IFERROR(INDEX(Ref_Alimentos!$D$2:$D$101,MATCH($B15,Ref_Alimentos!$A$2:$A$101,0)),"")</f>
        <v/>
      </c>
      <c r="E15" s="26" t="n"/>
      <c r="F15" s="30">
        <f>IFERROR(INDEX(Ref_Alimentos!$C$2:$C$101,MATCH($B15,Ref_Alimentos!$A$2:$A$101,0)),"")</f>
        <v/>
      </c>
      <c r="G15" s="31" t="inlineStr"/>
      <c r="H15" s="32">
        <f>IF($B15="","",IF($F15="Evitar","⚠ Conflito",IF(AND($F15="Moderar",SUMPRODUCT(($B$15:$B$19&lt;&gt;"")*(ROW($B$15:$B$19)&lt;&gt;ROW($B15))*(($F$15:$F$19="Moderar")+($F$15:$F$19="Evitar")))&gt;0),"⚠ Conflito","")))</f>
        <v/>
      </c>
    </row>
    <row r="16" ht="25.5" customHeight="1">
      <c r="A16" s="26" t="n">
        <v>2</v>
      </c>
      <c r="B16" s="27" t="n"/>
      <c r="C16" s="28">
        <f>IFERROR(INDEX(Ref_Alimentos!$B$2:$B$101,MATCH($B16,Ref_Alimentos!$A$2:$A$101,0)),"")</f>
        <v/>
      </c>
      <c r="D16" s="29">
        <f>IFERROR(INDEX(Ref_Alimentos!$D$2:$D$101,MATCH($B16,Ref_Alimentos!$A$2:$A$101,0)),"")</f>
        <v/>
      </c>
      <c r="E16" s="26" t="n"/>
      <c r="F16" s="30">
        <f>IFERROR(INDEX(Ref_Alimentos!$C$2:$C$101,MATCH($B16,Ref_Alimentos!$A$2:$A$101,0)),"")</f>
        <v/>
      </c>
      <c r="G16" s="31">
        <f>IF($B15="","",IFERROR(INDEX(Ref_Alimentos!$R$2:$R$60,MATCH(IFERROR(INDEX(Ref_Alimentos!$U$2:$U$9,MATCH($C15,Ref_Alimentos!$T$2:$T$9,0)),"")&amp;"|"&amp;"Almoço",Ref_Alimentos!$Q$2:$Q$60,0)),""))</f>
        <v/>
      </c>
      <c r="H16" s="32">
        <f>IF($B16="","",IF($F16="Evitar","⚠ Conflito",IF(AND($F16="Moderar",SUMPRODUCT(($B$15:$B$19&lt;&gt;"")*(ROW($B$15:$B$19)&lt;&gt;ROW($B16))*(($F$15:$F$19="Moderar")+($F$15:$F$19="Evitar")))&gt;0),"⚠ Conflito","")))</f>
        <v/>
      </c>
    </row>
    <row r="17" ht="25.5" customHeight="1">
      <c r="A17" s="26" t="n">
        <v>3</v>
      </c>
      <c r="B17" s="27" t="n"/>
      <c r="C17" s="28">
        <f>IFERROR(INDEX(Ref_Alimentos!$B$2:$B$101,MATCH($B17,Ref_Alimentos!$A$2:$A$101,0)),"")</f>
        <v/>
      </c>
      <c r="D17" s="29">
        <f>IFERROR(INDEX(Ref_Alimentos!$D$2:$D$101,MATCH($B17,Ref_Alimentos!$A$2:$A$101,0)),"")</f>
        <v/>
      </c>
      <c r="E17" s="26" t="n"/>
      <c r="F17" s="30">
        <f>IFERROR(INDEX(Ref_Alimentos!$C$2:$C$101,MATCH($B17,Ref_Alimentos!$A$2:$A$101,0)),"")</f>
        <v/>
      </c>
      <c r="G17" s="31">
        <f>IF($B16="","",IFERROR(INDEX(Ref_Alimentos!$R$2:$R$60,MATCH(IFERROR(INDEX(Ref_Alimentos!$U$2:$U$9,MATCH($C16,Ref_Alimentos!$T$2:$T$9,0)),"")&amp;"|"&amp;"Almoço",Ref_Alimentos!$Q$2:$Q$60,0)),""))</f>
        <v/>
      </c>
      <c r="H17" s="32">
        <f>IF($B17="","",IF($F17="Evitar","⚠ Conflito",IF(AND($F17="Moderar",SUMPRODUCT(($B$15:$B$19&lt;&gt;"")*(ROW($B$15:$B$19)&lt;&gt;ROW($B17))*(($F$15:$F$19="Moderar")+($F$15:$F$19="Evitar")))&gt;0),"⚠ Conflito","")))</f>
        <v/>
      </c>
    </row>
    <row r="18" ht="25.5" customHeight="1">
      <c r="A18" s="26" t="n">
        <v>4</v>
      </c>
      <c r="B18" s="27" t="n"/>
      <c r="C18" s="28">
        <f>IFERROR(INDEX(Ref_Alimentos!$B$2:$B$101,MATCH($B18,Ref_Alimentos!$A$2:$A$101,0)),"")</f>
        <v/>
      </c>
      <c r="D18" s="29">
        <f>IFERROR(INDEX(Ref_Alimentos!$D$2:$D$101,MATCH($B18,Ref_Alimentos!$A$2:$A$101,0)),"")</f>
        <v/>
      </c>
      <c r="E18" s="26" t="n"/>
      <c r="F18" s="30">
        <f>IFERROR(INDEX(Ref_Alimentos!$C$2:$C$101,MATCH($B18,Ref_Alimentos!$A$2:$A$101,0)),"")</f>
        <v/>
      </c>
      <c r="G18" s="31">
        <f>IF($B17="","",IFERROR(INDEX(Ref_Alimentos!$R$2:$R$60,MATCH(IFERROR(INDEX(Ref_Alimentos!$U$2:$U$9,MATCH($C17,Ref_Alimentos!$T$2:$T$9,0)),"")&amp;"|"&amp;"Almoço",Ref_Alimentos!$Q$2:$Q$60,0)),""))</f>
        <v/>
      </c>
      <c r="H18" s="32">
        <f>IF($B18="","",IF($F18="Evitar","⚠ Conflito",IF(AND($F18="Moderar",SUMPRODUCT(($B$15:$B$19&lt;&gt;"")*(ROW($B$15:$B$19)&lt;&gt;ROW($B18))*(($F$15:$F$19="Moderar")+($F$15:$F$19="Evitar")))&gt;0),"⚠ Conflito","")))</f>
        <v/>
      </c>
    </row>
    <row r="19" ht="25.5" customHeight="1">
      <c r="A19" s="26" t="n">
        <v>5</v>
      </c>
      <c r="B19" s="27" t="n"/>
      <c r="C19" s="28">
        <f>IFERROR(INDEX(Ref_Alimentos!$B$2:$B$101,MATCH($B19,Ref_Alimentos!$A$2:$A$101,0)),"")</f>
        <v/>
      </c>
      <c r="D19" s="29">
        <f>IFERROR(INDEX(Ref_Alimentos!$D$2:$D$101,MATCH($B19,Ref_Alimentos!$A$2:$A$101,0)),"")</f>
        <v/>
      </c>
      <c r="E19" s="26" t="n"/>
      <c r="F19" s="30">
        <f>IFERROR(INDEX(Ref_Alimentos!$C$2:$C$101,MATCH($B19,Ref_Alimentos!$A$2:$A$101,0)),"")</f>
        <v/>
      </c>
      <c r="G19" s="31">
        <f>IF($B18="","",IFERROR(INDEX(Ref_Alimentos!$R$2:$R$60,MATCH(IFERROR(INDEX(Ref_Alimentos!$U$2:$U$9,MATCH($C18,Ref_Alimentos!$T$2:$T$9,0)),"")&amp;"|"&amp;"Almoço",Ref_Alimentos!$Q$2:$Q$60,0)),""))</f>
        <v/>
      </c>
      <c r="H19" s="32">
        <f>IF($B19="","",IF($F19="Evitar","⚠ Conflito",IF(AND($F19="Moderar",SUMPRODUCT(($B$15:$B$19&lt;&gt;"")*(ROW($B$15:$B$19)&lt;&gt;ROW($B19))*(($F$15:$F$19="Moderar")+($F$15:$F$19="Evitar")))&gt;0),"⚠ Conflito","")))</f>
        <v/>
      </c>
    </row>
    <row r="21" ht="19.5" customHeight="1">
      <c r="A21" s="24" t="inlineStr">
        <is>
          <t>LANCHE</t>
        </is>
      </c>
      <c r="B21" s="11" t="n"/>
      <c r="C21" s="11" t="n"/>
      <c r="D21" s="11" t="n"/>
      <c r="E21" s="11" t="n"/>
      <c r="F21" s="11" t="n"/>
      <c r="G21" s="11" t="n"/>
      <c r="H21" s="11" t="n"/>
    </row>
    <row r="22" ht="30" customHeight="1">
      <c r="A22" s="25" t="inlineStr">
        <is>
          <t>Nº</t>
        </is>
      </c>
      <c r="B22" s="25" t="inlineStr">
        <is>
          <t>Alimento</t>
        </is>
      </c>
      <c r="C22" s="25" t="inlineStr">
        <is>
          <t>Categoria</t>
        </is>
      </c>
      <c r="D22" s="25" t="inlineStr">
        <is>
          <t>Porção sugerida</t>
        </is>
      </c>
      <c r="E22" s="25" t="inlineStr">
        <is>
          <t>Quantidade a comer</t>
        </is>
      </c>
      <c r="F22" s="25" t="inlineStr">
        <is>
          <t>Classificação</t>
        </is>
      </c>
      <c r="G22" s="25" t="inlineStr">
        <is>
          <t>Sugestão (com base no item anterior)</t>
        </is>
      </c>
      <c r="H22" s="25" t="inlineStr">
        <is>
          <t>Conflito</t>
        </is>
      </c>
    </row>
    <row r="23" ht="25.5" customHeight="1">
      <c r="A23" s="26" t="n">
        <v>1</v>
      </c>
      <c r="B23" s="27" t="n"/>
      <c r="C23" s="28">
        <f>IFERROR(INDEX(Ref_Alimentos!$B$2:$B$101,MATCH($B23,Ref_Alimentos!$A$2:$A$101,0)),"")</f>
        <v/>
      </c>
      <c r="D23" s="29">
        <f>IFERROR(INDEX(Ref_Alimentos!$D$2:$D$101,MATCH($B23,Ref_Alimentos!$A$2:$A$101,0)),"")</f>
        <v/>
      </c>
      <c r="E23" s="26" t="n"/>
      <c r="F23" s="30">
        <f>IFERROR(INDEX(Ref_Alimentos!$C$2:$C$101,MATCH($B23,Ref_Alimentos!$A$2:$A$101,0)),"")</f>
        <v/>
      </c>
      <c r="G23" s="31" t="inlineStr"/>
      <c r="H23" s="32">
        <f>IF($B23="","",IF($F23="Evitar","⚠ Conflito",IF(AND($F23="Moderar",SUMPRODUCT(($B$23:$B$27&lt;&gt;"")*(ROW($B$23:$B$27)&lt;&gt;ROW($B23))*(($F$23:$F$27="Moderar")+($F$23:$F$27="Evitar")))&gt;0),"⚠ Conflito","")))</f>
        <v/>
      </c>
    </row>
    <row r="24" ht="25.5" customHeight="1">
      <c r="A24" s="26" t="n">
        <v>2</v>
      </c>
      <c r="B24" s="27" t="n"/>
      <c r="C24" s="28">
        <f>IFERROR(INDEX(Ref_Alimentos!$B$2:$B$101,MATCH($B24,Ref_Alimentos!$A$2:$A$101,0)),"")</f>
        <v/>
      </c>
      <c r="D24" s="29">
        <f>IFERROR(INDEX(Ref_Alimentos!$D$2:$D$101,MATCH($B24,Ref_Alimentos!$A$2:$A$101,0)),"")</f>
        <v/>
      </c>
      <c r="E24" s="26" t="n"/>
      <c r="F24" s="30">
        <f>IFERROR(INDEX(Ref_Alimentos!$C$2:$C$101,MATCH($B24,Ref_Alimentos!$A$2:$A$101,0)),"")</f>
        <v/>
      </c>
      <c r="G24" s="31">
        <f>IF($B23="","",IFERROR(INDEX(Ref_Alimentos!$R$2:$R$60,MATCH(IFERROR(INDEX(Ref_Alimentos!$U$2:$U$9,MATCH($C23,Ref_Alimentos!$T$2:$T$9,0)),"")&amp;"|"&amp;"Lanche",Ref_Alimentos!$Q$2:$Q$60,0)),""))</f>
        <v/>
      </c>
      <c r="H24" s="32">
        <f>IF($B24="","",IF($F24="Evitar","⚠ Conflito",IF(AND($F24="Moderar",SUMPRODUCT(($B$23:$B$27&lt;&gt;"")*(ROW($B$23:$B$27)&lt;&gt;ROW($B24))*(($F$23:$F$27="Moderar")+($F$23:$F$27="Evitar")))&gt;0),"⚠ Conflito","")))</f>
        <v/>
      </c>
    </row>
    <row r="25" ht="25.5" customHeight="1">
      <c r="A25" s="26" t="n">
        <v>3</v>
      </c>
      <c r="B25" s="27" t="n"/>
      <c r="C25" s="28">
        <f>IFERROR(INDEX(Ref_Alimentos!$B$2:$B$101,MATCH($B25,Ref_Alimentos!$A$2:$A$101,0)),"")</f>
        <v/>
      </c>
      <c r="D25" s="29">
        <f>IFERROR(INDEX(Ref_Alimentos!$D$2:$D$101,MATCH($B25,Ref_Alimentos!$A$2:$A$101,0)),"")</f>
        <v/>
      </c>
      <c r="E25" s="26" t="n"/>
      <c r="F25" s="30">
        <f>IFERROR(INDEX(Ref_Alimentos!$C$2:$C$101,MATCH($B25,Ref_Alimentos!$A$2:$A$101,0)),"")</f>
        <v/>
      </c>
      <c r="G25" s="31">
        <f>IF($B24="","",IFERROR(INDEX(Ref_Alimentos!$R$2:$R$60,MATCH(IFERROR(INDEX(Ref_Alimentos!$U$2:$U$9,MATCH($C24,Ref_Alimentos!$T$2:$T$9,0)),"")&amp;"|"&amp;"Lanche",Ref_Alimentos!$Q$2:$Q$60,0)),""))</f>
        <v/>
      </c>
      <c r="H25" s="32">
        <f>IF($B25="","",IF($F25="Evitar","⚠ Conflito",IF(AND($F25="Moderar",SUMPRODUCT(($B$23:$B$27&lt;&gt;"")*(ROW($B$23:$B$27)&lt;&gt;ROW($B25))*(($F$23:$F$27="Moderar")+($F$23:$F$27="Evitar")))&gt;0),"⚠ Conflito","")))</f>
        <v/>
      </c>
    </row>
    <row r="26" ht="25.5" customHeight="1">
      <c r="A26" s="26" t="n">
        <v>4</v>
      </c>
      <c r="B26" s="27" t="n"/>
      <c r="C26" s="28">
        <f>IFERROR(INDEX(Ref_Alimentos!$B$2:$B$101,MATCH($B26,Ref_Alimentos!$A$2:$A$101,0)),"")</f>
        <v/>
      </c>
      <c r="D26" s="29">
        <f>IFERROR(INDEX(Ref_Alimentos!$D$2:$D$101,MATCH($B26,Ref_Alimentos!$A$2:$A$101,0)),"")</f>
        <v/>
      </c>
      <c r="E26" s="26" t="n"/>
      <c r="F26" s="30">
        <f>IFERROR(INDEX(Ref_Alimentos!$C$2:$C$101,MATCH($B26,Ref_Alimentos!$A$2:$A$101,0)),"")</f>
        <v/>
      </c>
      <c r="G26" s="31">
        <f>IF($B25="","",IFERROR(INDEX(Ref_Alimentos!$R$2:$R$60,MATCH(IFERROR(INDEX(Ref_Alimentos!$U$2:$U$9,MATCH($C25,Ref_Alimentos!$T$2:$T$9,0)),"")&amp;"|"&amp;"Lanche",Ref_Alimentos!$Q$2:$Q$60,0)),""))</f>
        <v/>
      </c>
      <c r="H26" s="32">
        <f>IF($B26="","",IF($F26="Evitar","⚠ Conflito",IF(AND($F26="Moderar",SUMPRODUCT(($B$23:$B$27&lt;&gt;"")*(ROW($B$23:$B$27)&lt;&gt;ROW($B26))*(($F$23:$F$27="Moderar")+($F$23:$F$27="Evitar")))&gt;0),"⚠ Conflito","")))</f>
        <v/>
      </c>
    </row>
    <row r="27" ht="25.5" customHeight="1">
      <c r="A27" s="26" t="n">
        <v>5</v>
      </c>
      <c r="B27" s="27" t="n"/>
      <c r="C27" s="28">
        <f>IFERROR(INDEX(Ref_Alimentos!$B$2:$B$101,MATCH($B27,Ref_Alimentos!$A$2:$A$101,0)),"")</f>
        <v/>
      </c>
      <c r="D27" s="29">
        <f>IFERROR(INDEX(Ref_Alimentos!$D$2:$D$101,MATCH($B27,Ref_Alimentos!$A$2:$A$101,0)),"")</f>
        <v/>
      </c>
      <c r="E27" s="26" t="n"/>
      <c r="F27" s="30">
        <f>IFERROR(INDEX(Ref_Alimentos!$C$2:$C$101,MATCH($B27,Ref_Alimentos!$A$2:$A$101,0)),"")</f>
        <v/>
      </c>
      <c r="G27" s="31">
        <f>IF($B26="","",IFERROR(INDEX(Ref_Alimentos!$R$2:$R$60,MATCH(IFERROR(INDEX(Ref_Alimentos!$U$2:$U$9,MATCH($C26,Ref_Alimentos!$T$2:$T$9,0)),"")&amp;"|"&amp;"Lanche",Ref_Alimentos!$Q$2:$Q$60,0)),""))</f>
        <v/>
      </c>
      <c r="H27" s="32">
        <f>IF($B27="","",IF($F27="Evitar","⚠ Conflito",IF(AND($F27="Moderar",SUMPRODUCT(($B$23:$B$27&lt;&gt;"")*(ROW($B$23:$B$27)&lt;&gt;ROW($B27))*(($F$23:$F$27="Moderar")+($F$23:$F$27="Evitar")))&gt;0),"⚠ Conflito","")))</f>
        <v/>
      </c>
    </row>
    <row r="29" ht="19.5" customHeight="1">
      <c r="A29" s="24" t="inlineStr">
        <is>
          <t>JANTAR</t>
        </is>
      </c>
      <c r="B29" s="11" t="n"/>
      <c r="C29" s="11" t="n"/>
      <c r="D29" s="11" t="n"/>
      <c r="E29" s="11" t="n"/>
      <c r="F29" s="11" t="n"/>
      <c r="G29" s="11" t="n"/>
      <c r="H29" s="11" t="n"/>
    </row>
    <row r="30" ht="30" customHeight="1">
      <c r="A30" s="25" t="inlineStr">
        <is>
          <t>Nº</t>
        </is>
      </c>
      <c r="B30" s="25" t="inlineStr">
        <is>
          <t>Alimento</t>
        </is>
      </c>
      <c r="C30" s="25" t="inlineStr">
        <is>
          <t>Categoria</t>
        </is>
      </c>
      <c r="D30" s="25" t="inlineStr">
        <is>
          <t>Porção sugerida</t>
        </is>
      </c>
      <c r="E30" s="25" t="inlineStr">
        <is>
          <t>Quantidade a comer</t>
        </is>
      </c>
      <c r="F30" s="25" t="inlineStr">
        <is>
          <t>Classificação</t>
        </is>
      </c>
      <c r="G30" s="25" t="inlineStr">
        <is>
          <t>Sugestão (com base no item anterior)</t>
        </is>
      </c>
      <c r="H30" s="25" t="inlineStr">
        <is>
          <t>Conflito</t>
        </is>
      </c>
    </row>
    <row r="31" ht="25.5" customHeight="1">
      <c r="A31" s="26" t="n">
        <v>1</v>
      </c>
      <c r="B31" s="27" t="n"/>
      <c r="C31" s="28">
        <f>IFERROR(INDEX(Ref_Alimentos!$B$2:$B$101,MATCH($B31,Ref_Alimentos!$A$2:$A$101,0)),"")</f>
        <v/>
      </c>
      <c r="D31" s="29">
        <f>IFERROR(INDEX(Ref_Alimentos!$D$2:$D$101,MATCH($B31,Ref_Alimentos!$A$2:$A$101,0)),"")</f>
        <v/>
      </c>
      <c r="E31" s="26" t="n"/>
      <c r="F31" s="30">
        <f>IFERROR(INDEX(Ref_Alimentos!$C$2:$C$101,MATCH($B31,Ref_Alimentos!$A$2:$A$101,0)),"")</f>
        <v/>
      </c>
      <c r="G31" s="31" t="inlineStr"/>
      <c r="H31" s="32">
        <f>IF($B31="","",IF($F31="Evitar","⚠ Conflito",IF(AND($F31="Moderar",SUMPRODUCT(($B$31:$B$35&lt;&gt;"")*(ROW($B$31:$B$35)&lt;&gt;ROW($B31))*(($F$31:$F$35="Moderar")+($F$31:$F$35="Evitar")))&gt;0),"⚠ Conflito","")))</f>
        <v/>
      </c>
    </row>
    <row r="32" ht="25.5" customHeight="1">
      <c r="A32" s="26" t="n">
        <v>2</v>
      </c>
      <c r="B32" s="27" t="n"/>
      <c r="C32" s="28">
        <f>IFERROR(INDEX(Ref_Alimentos!$B$2:$B$101,MATCH($B32,Ref_Alimentos!$A$2:$A$101,0)),"")</f>
        <v/>
      </c>
      <c r="D32" s="29">
        <f>IFERROR(INDEX(Ref_Alimentos!$D$2:$D$101,MATCH($B32,Ref_Alimentos!$A$2:$A$101,0)),"")</f>
        <v/>
      </c>
      <c r="E32" s="26" t="n"/>
      <c r="F32" s="30">
        <f>IFERROR(INDEX(Ref_Alimentos!$C$2:$C$101,MATCH($B32,Ref_Alimentos!$A$2:$A$101,0)),"")</f>
        <v/>
      </c>
      <c r="G32" s="31">
        <f>IF($B31="","",IFERROR(INDEX(Ref_Alimentos!$R$2:$R$60,MATCH(IFERROR(INDEX(Ref_Alimentos!$U$2:$U$9,MATCH($C31,Ref_Alimentos!$T$2:$T$9,0)),"")&amp;"|"&amp;"Jantar",Ref_Alimentos!$Q$2:$Q$60,0)),""))</f>
        <v/>
      </c>
      <c r="H32" s="32">
        <f>IF($B32="","",IF($F32="Evitar","⚠ Conflito",IF(AND($F32="Moderar",SUMPRODUCT(($B$31:$B$35&lt;&gt;"")*(ROW($B$31:$B$35)&lt;&gt;ROW($B32))*(($F$31:$F$35="Moderar")+($F$31:$F$35="Evitar")))&gt;0),"⚠ Conflito","")))</f>
        <v/>
      </c>
    </row>
    <row r="33" ht="25.5" customHeight="1">
      <c r="A33" s="26" t="n">
        <v>3</v>
      </c>
      <c r="B33" s="27" t="n"/>
      <c r="C33" s="28">
        <f>IFERROR(INDEX(Ref_Alimentos!$B$2:$B$101,MATCH($B33,Ref_Alimentos!$A$2:$A$101,0)),"")</f>
        <v/>
      </c>
      <c r="D33" s="29">
        <f>IFERROR(INDEX(Ref_Alimentos!$D$2:$D$101,MATCH($B33,Ref_Alimentos!$A$2:$A$101,0)),"")</f>
        <v/>
      </c>
      <c r="E33" s="26" t="n"/>
      <c r="F33" s="30">
        <f>IFERROR(INDEX(Ref_Alimentos!$C$2:$C$101,MATCH($B33,Ref_Alimentos!$A$2:$A$101,0)),"")</f>
        <v/>
      </c>
      <c r="G33" s="31">
        <f>IF($B32="","",IFERROR(INDEX(Ref_Alimentos!$R$2:$R$60,MATCH(IFERROR(INDEX(Ref_Alimentos!$U$2:$U$9,MATCH($C32,Ref_Alimentos!$T$2:$T$9,0)),"")&amp;"|"&amp;"Jantar",Ref_Alimentos!$Q$2:$Q$60,0)),""))</f>
        <v/>
      </c>
      <c r="H33" s="32">
        <f>IF($B33="","",IF($F33="Evitar","⚠ Conflito",IF(AND($F33="Moderar",SUMPRODUCT(($B$31:$B$35&lt;&gt;"")*(ROW($B$31:$B$35)&lt;&gt;ROW($B33))*(($F$31:$F$35="Moderar")+($F$31:$F$35="Evitar")))&gt;0),"⚠ Conflito","")))</f>
        <v/>
      </c>
    </row>
    <row r="34" ht="25.5" customHeight="1">
      <c r="A34" s="26" t="n">
        <v>4</v>
      </c>
      <c r="B34" s="27" t="n"/>
      <c r="C34" s="28">
        <f>IFERROR(INDEX(Ref_Alimentos!$B$2:$B$101,MATCH($B34,Ref_Alimentos!$A$2:$A$101,0)),"")</f>
        <v/>
      </c>
      <c r="D34" s="29">
        <f>IFERROR(INDEX(Ref_Alimentos!$D$2:$D$101,MATCH($B34,Ref_Alimentos!$A$2:$A$101,0)),"")</f>
        <v/>
      </c>
      <c r="E34" s="26" t="n"/>
      <c r="F34" s="30">
        <f>IFERROR(INDEX(Ref_Alimentos!$C$2:$C$101,MATCH($B34,Ref_Alimentos!$A$2:$A$101,0)),"")</f>
        <v/>
      </c>
      <c r="G34" s="31">
        <f>IF($B33="","",IFERROR(INDEX(Ref_Alimentos!$R$2:$R$60,MATCH(IFERROR(INDEX(Ref_Alimentos!$U$2:$U$9,MATCH($C33,Ref_Alimentos!$T$2:$T$9,0)),"")&amp;"|"&amp;"Jantar",Ref_Alimentos!$Q$2:$Q$60,0)),""))</f>
        <v/>
      </c>
      <c r="H34" s="32">
        <f>IF($B34="","",IF($F34="Evitar","⚠ Conflito",IF(AND($F34="Moderar",SUMPRODUCT(($B$31:$B$35&lt;&gt;"")*(ROW($B$31:$B$35)&lt;&gt;ROW($B34))*(($F$31:$F$35="Moderar")+($F$31:$F$35="Evitar")))&gt;0),"⚠ Conflito","")))</f>
        <v/>
      </c>
    </row>
    <row r="35" ht="25.5" customHeight="1">
      <c r="A35" s="26" t="n">
        <v>5</v>
      </c>
      <c r="B35" s="27" t="n"/>
      <c r="C35" s="28">
        <f>IFERROR(INDEX(Ref_Alimentos!$B$2:$B$101,MATCH($B35,Ref_Alimentos!$A$2:$A$101,0)),"")</f>
        <v/>
      </c>
      <c r="D35" s="29">
        <f>IFERROR(INDEX(Ref_Alimentos!$D$2:$D$101,MATCH($B35,Ref_Alimentos!$A$2:$A$101,0)),"")</f>
        <v/>
      </c>
      <c r="E35" s="26" t="n"/>
      <c r="F35" s="30">
        <f>IFERROR(INDEX(Ref_Alimentos!$C$2:$C$101,MATCH($B35,Ref_Alimentos!$A$2:$A$101,0)),"")</f>
        <v/>
      </c>
      <c r="G35" s="31">
        <f>IF($B34="","",IFERROR(INDEX(Ref_Alimentos!$R$2:$R$60,MATCH(IFERROR(INDEX(Ref_Alimentos!$U$2:$U$9,MATCH($C34,Ref_Alimentos!$T$2:$T$9,0)),"")&amp;"|"&amp;"Jantar",Ref_Alimentos!$Q$2:$Q$60,0)),""))</f>
        <v/>
      </c>
      <c r="H35" s="32">
        <f>IF($B35="","",IF($F35="Evitar","⚠ Conflito",IF(AND($F35="Moderar",SUMPRODUCT(($B$31:$B$35&lt;&gt;"")*(ROW($B$31:$B$35)&lt;&gt;ROW($B35))*(($F$31:$F$35="Moderar")+($F$31:$F$35="Evitar")))&gt;0),"⚠ Conflito","")))</f>
        <v/>
      </c>
    </row>
    <row r="37" ht="43.5"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5.5" customHeight="1">
      <c r="A1" s="1" t="inlineStr">
        <is>
          <t>Fontes e Referências — de onde vieram as informações médicas</t>
        </is>
      </c>
    </row>
    <row r="2" ht="55.5" customHeight="1">
      <c r="A2" s="18"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3" t="n">
        <v>1</v>
      </c>
      <c r="B4" s="34" t="inlineStr">
        <is>
          <t>Suco de toranja em quantidade alta quase dobra o nível de Ticagrelor no sangue e aumenta seu efeito antiagregante</t>
        </is>
      </c>
      <c r="C4" s="35" t="inlineStr">
        <is>
          <t>Holmberg et al., 2013, Br J Clin Pharmacol (PubMed)</t>
        </is>
      </c>
      <c r="D4" s="34" t="inlineStr">
        <is>
          <t>Estudo clínico revisado por pares</t>
        </is>
      </c>
      <c r="E4" s="33" t="inlineStr">
        <is>
          <t>Alimentação</t>
        </is>
      </c>
      <c r="F4" s="36" t="inlineStr">
        <is>
          <t>https://pubmed.ncbi.nlm.nih.gov/23126367/</t>
        </is>
      </c>
    </row>
    <row r="5" ht="36" customHeight="1">
      <c r="A5" s="33" t="n">
        <v>2</v>
      </c>
      <c r="B5" s="34" t="inlineStr">
        <is>
          <t>Bula brasileira do Brilinta (Ticagrelor) cita esse estudo e orienta evitar suco de toranja em grande quantidade</t>
        </is>
      </c>
      <c r="C5" s="35" t="inlineStr">
        <is>
          <t>Bula profissional Brilinta, AstraZeneca do Brasil (aprovada pela Anvisa)</t>
        </is>
      </c>
      <c r="D5" s="34" t="inlineStr">
        <is>
          <t>Bula oficial (Anvisa)</t>
        </is>
      </c>
      <c r="E5" s="33" t="inlineStr">
        <is>
          <t>Alimentação</t>
        </is>
      </c>
      <c r="F5" s="36" t="inlineStr">
        <is>
          <t>https://www.azmed.com.br/content/dam/multibrand/br/pt/azmed-2022/home/bulas-profissionais/bulas/Brilinta_Bula_Profissional.pdf</t>
        </is>
      </c>
    </row>
    <row r="6" ht="36" customHeight="1">
      <c r="A6" s="33" t="n">
        <v>3</v>
      </c>
      <c r="B6" s="34" t="inlineStr">
        <is>
          <t>Enalapril (IECA) + sal light/suplemento de potássio aumenta risco de hipercalemia</t>
        </is>
      </c>
      <c r="C6" s="35" t="inlineStr">
        <is>
          <t>StatPearls (NCBI Bookshelf), "Enalapril"</t>
        </is>
      </c>
      <c r="D6" s="34" t="inlineStr">
        <is>
          <t>Referência clínica revisada por pares</t>
        </is>
      </c>
      <c r="E6" s="33" t="inlineStr">
        <is>
          <t>Alimentação</t>
        </is>
      </c>
      <c r="F6" s="36" t="inlineStr">
        <is>
          <t>https://www.ncbi.nlm.nih.gov/books/NBK557708/</t>
        </is>
      </c>
    </row>
    <row r="7" ht="36" customHeight="1">
      <c r="A7" s="33" t="n">
        <v>4</v>
      </c>
      <c r="B7" s="34" t="inlineStr">
        <is>
          <t>Álcool combinado com Aspirina aumenta o risco de sangramento gastrointestinal alto</t>
        </is>
      </c>
      <c r="C7" s="35" t="inlineStr">
        <is>
          <t>Kaufman et al., 1999, Ann Epidemiol (PubMed)</t>
        </is>
      </c>
      <c r="D7" s="34" t="inlineStr">
        <is>
          <t>Estudo epidemiológico revisado por pares</t>
        </is>
      </c>
      <c r="E7" s="33" t="inlineStr">
        <is>
          <t>Alimentação</t>
        </is>
      </c>
      <c r="F7" s="36" t="inlineStr">
        <is>
          <t>https://pubmed.ncbi.nlm.nih.gov/10566713/</t>
        </is>
      </c>
    </row>
    <row r="8" ht="36" customHeight="1">
      <c r="A8" s="33" t="n">
        <v>5</v>
      </c>
      <c r="B8" s="34" t="inlineStr">
        <is>
          <t>Arroz de levedura vermelha (red yeast rice) pode causar os mesmos efeitos colaterais e interações de uma estatina</t>
        </is>
      </c>
      <c r="C8" s="35" t="inlineStr">
        <is>
          <t>NIH — National Center for Complementary and Integrative Health</t>
        </is>
      </c>
      <c r="D8" s="34" t="inlineStr">
        <is>
          <t>Órgão oficial do governo dos EUA (NIH)</t>
        </is>
      </c>
      <c r="E8" s="33" t="inlineStr">
        <is>
          <t>Alimentação</t>
        </is>
      </c>
      <c r="F8" s="36" t="inlineStr">
        <is>
          <t>https://www.nccih.nih.gov/health/red-yeast-rice</t>
        </is>
      </c>
    </row>
    <row r="9" ht="36" customHeight="1">
      <c r="A9" s="33" t="n">
        <v>6</v>
      </c>
      <c r="B9" s="34" t="inlineStr">
        <is>
          <t>Rosuvastatina não tem interação relevante com toranja (via CYP2C9, diferente da via CYP3A4 usada pelo Ticagrelor)</t>
        </is>
      </c>
      <c r="C9" s="35" t="inlineStr">
        <is>
          <t>Bailey DG et al., 2013, CMAJ, "Grapefruit-medication interactions"</t>
        </is>
      </c>
      <c r="D9" s="34" t="inlineStr">
        <is>
          <t>Revisão científica revisada por pares</t>
        </is>
      </c>
      <c r="E9" s="33" t="inlineStr">
        <is>
          <t>Alimentação</t>
        </is>
      </c>
      <c r="F9" s="36" t="inlineStr">
        <is>
          <t>https://pmc.ncbi.nlm.nih.gov/articles/PMC3589309/</t>
        </is>
      </c>
    </row>
    <row r="10" ht="36" customHeight="1">
      <c r="A10" s="33" t="n">
        <v>7</v>
      </c>
      <c r="B10" s="34" t="inlineStr">
        <is>
          <t>Duração de 12 meses de dupla antiagregação (Aspirina + Ticagrelor) após stent em síndrome coronariana aguda</t>
        </is>
      </c>
      <c r="C10" s="35" t="inlineStr">
        <is>
          <t>2016 ACC/AHA Guideline Focused Update on DAPT; reafirmado na diretriz ACS 2025 (JACC)</t>
        </is>
      </c>
      <c r="D10" s="34" t="inlineStr">
        <is>
          <t>Diretriz de sociedades médicas (ACC/AHA)</t>
        </is>
      </c>
      <c r="E10" s="33" t="inlineStr">
        <is>
          <t>Alimentação</t>
        </is>
      </c>
      <c r="F10" s="36" t="inlineStr">
        <is>
          <t>https://www.acc.org/latest-in-cardiology/ten-points-to-remember/2016/03/25/14/56/2016-acc-aha-guideline-focused-update-on-dapt</t>
        </is>
      </c>
    </row>
    <row r="11" ht="49.5" customHeight="1">
      <c r="A11" s="33" t="n">
        <v>8</v>
      </c>
      <c r="B11" s="34" t="inlineStr">
        <is>
          <t>Metas de LDL pós-infarto: &lt;50 mg/dL (SBC 2017); &lt;40 mg/dL na categoria "risco extremo" (SBC 2025, com critérios adicionais); &lt;55 mg/dL (ESC/EAS 2019 e ACC/AHA, risco muito alto)</t>
        </is>
      </c>
      <c r="C11" s="35" t="inlineStr">
        <is>
          <t>Diretriz Brasileira de Dislipidemias e Prevenção da Aterosclerose 2025 (SBC), Arq Bras Cardiol</t>
        </is>
      </c>
      <c r="D11" s="34" t="inlineStr">
        <is>
          <t>Diretriz de sociedade médica (SBC)</t>
        </is>
      </c>
      <c r="E11" s="33" t="inlineStr">
        <is>
          <t>Alimentação</t>
        </is>
      </c>
      <c r="F11" s="36" t="inlineStr">
        <is>
          <t>https://www.scielo.br/j/abc/a/tRJrwGzKX6C4GvMqdJpZcGk/?lang=pt</t>
        </is>
      </c>
    </row>
    <row r="12" ht="49.5" customHeight="1">
      <c r="A12" s="33" t="n">
        <v>9</v>
      </c>
      <c r="B12" s="34" t="inlineStr">
        <is>
          <t>Diretriz alimentar cardioprotetora: sódio controlado, gordura saturada &lt;6% das calorias, padrão Mediterrâneo/DASH</t>
        </is>
      </c>
      <c r="C12" s="35" t="inlineStr">
        <is>
          <t>American Heart Association — AHA Diet and Lifestyle Recommendations / 2026 Dietary Guidance to Improve Cardiovascular Health (Circulation)</t>
        </is>
      </c>
      <c r="D12" s="34" t="inlineStr">
        <is>
          <t>Diretriz de sociedade médica (AHA)</t>
        </is>
      </c>
      <c r="E12" s="33" t="inlineStr">
        <is>
          <t>Alimentação</t>
        </is>
      </c>
      <c r="F12" s="36" t="inlineStr">
        <is>
          <t>https://www.heart.org/en/healthy-living/healthy-eating/eat-smart/nutrition-basics/aha-diet-and-lifestyle-recommendations</t>
        </is>
      </c>
    </row>
    <row r="13" ht="36" customHeight="1">
      <c r="A13" s="33" t="n">
        <v>10</v>
      </c>
      <c r="B13" s="34" t="inlineStr">
        <is>
          <t>No Brasil, a Dieta Cardioprotetora Brasileira (DICA Br) aplica essas mesmas recomendações a alimentos típicos brasileiros</t>
        </is>
      </c>
      <c r="C13" s="35" t="inlineStr">
        <is>
          <t>I Diretriz Brasileira de Prevenção Cardiovascular (SBC), Arq Bras Cardiol</t>
        </is>
      </c>
      <c r="D13" s="34" t="inlineStr">
        <is>
          <t>Diretriz de sociedade médica (SBC)</t>
        </is>
      </c>
      <c r="E13" s="33" t="inlineStr">
        <is>
          <t>Alimentação</t>
        </is>
      </c>
      <c r="F13" s="36" t="inlineStr">
        <is>
          <t>https://www.scielo.br/j/abc/a/X94tMKwdnBjkCzVKpXwBqmD/?lang=pt</t>
        </is>
      </c>
    </row>
    <row r="14" ht="36" customHeight="1">
      <c r="A14" s="33" t="n">
        <v>11</v>
      </c>
      <c r="B14" s="34" t="inlineStr">
        <is>
          <t>Critério objetivo de Lesão Renal Aguda (LRA) estágio 1: creatinina sobe ≥0,3 mg/dL em 48h</t>
        </is>
      </c>
      <c r="C14" s="35" t="inlineStr">
        <is>
          <t>KDIGO — Clinical Practice Guideline for Acute Kidney Injury, 2012</t>
        </is>
      </c>
      <c r="D14" s="34" t="inlineStr">
        <is>
          <t>Diretriz de sociedade médica (KDIGO)</t>
        </is>
      </c>
      <c r="E14" s="33" t="inlineStr">
        <is>
          <t>Clínico geral</t>
        </is>
      </c>
      <c r="F14" s="36" t="inlineStr">
        <is>
          <t>https://kdigo.org/wp-content/uploads/2016/10/KDIGO-2012-AKI-Guideline-English.pdf</t>
        </is>
      </c>
    </row>
    <row r="15" ht="36" customHeight="1">
      <c r="A15" s="33" t="n">
        <v>12</v>
      </c>
      <c r="B15" s="34" t="inlineStr">
        <is>
          <t>Exame padrão para proteinúria é a relação albumina/creatinina urinária (ACR/RAC), categorias A1/A2/A3</t>
        </is>
      </c>
      <c r="C15" s="35" t="inlineStr">
        <is>
          <t>KDIGO — Clinical Practice Guideline for CKD, 2012 (categorias mantidas na atualização 2024)</t>
        </is>
      </c>
      <c r="D15" s="34" t="inlineStr">
        <is>
          <t>Diretriz de sociedade médica (KDIGO)</t>
        </is>
      </c>
      <c r="E15" s="33" t="inlineStr">
        <is>
          <t>Clínico geral</t>
        </is>
      </c>
      <c r="F15" s="36" t="inlineStr">
        <is>
          <t>https://kdigo.org/wp-content/uploads/2017/02/KDIGO_2012_CKD_GL.pdf</t>
        </is>
      </c>
    </row>
    <row r="16" ht="36" customHeight="1">
      <c r="A16" s="33" t="n">
        <v>13</v>
      </c>
      <c r="B16" s="34" t="inlineStr">
        <is>
          <t>Múltiplas exposições a contraste em dias próximos são fator de risco para lesão renal por contraste, com pico em 3-5 dias e resolução em 7-14 dias</t>
        </is>
      </c>
      <c r="C16" s="35" t="inlineStr">
        <is>
          <t>ESUR — Post-contrast acute kidney injury, Guidelines v10.0, 2018</t>
        </is>
      </c>
      <c r="D16" s="34" t="inlineStr">
        <is>
          <t>Diretriz de sociedade médica (ESUR)</t>
        </is>
      </c>
      <c r="E16" s="33" t="inlineStr">
        <is>
          <t>Clínico geral</t>
        </is>
      </c>
      <c r="F16" s="36" t="inlineStr">
        <is>
          <t>https://www.esur.org/wp-content/uploads/2022/03/ESUR-Guidelines-10_0-Final-Version.pdf</t>
        </is>
      </c>
    </row>
    <row r="17" ht="36" customHeight="1">
      <c r="A17" s="33" t="n">
        <v>14</v>
      </c>
      <c r="B17" s="34" t="inlineStr">
        <is>
          <t>Definição de infarto periprocedimento (tipo 4a): troponina &gt;5x o limite superior + evidência de nova isquemia</t>
        </is>
      </c>
      <c r="C17" s="35" t="inlineStr">
        <is>
          <t>Thygesen K, Alpert JS et al. — Fourth Universal Definition of Myocardial Infarction, 2018</t>
        </is>
      </c>
      <c r="D17" s="34" t="inlineStr">
        <is>
          <t>Documento conjunto de sociedades médicas (ESC/ACC/AHA/WHF)</t>
        </is>
      </c>
      <c r="E17" s="33" t="inlineStr">
        <is>
          <t>Clínico geral</t>
        </is>
      </c>
      <c r="F17" s="36" t="inlineStr">
        <is>
          <t>https://www.ahajournals.org/doi/10.1161/CIR.0000000000000617</t>
        </is>
      </c>
    </row>
    <row r="18" ht="49.5" customHeight="1">
      <c r="A18" s="33" t="n">
        <v>15</v>
      </c>
      <c r="B18" s="34" t="inlineStr">
        <is>
          <t>Limiares de segurança para manter um IECA (Enalapril): potássio até 5,5 mmol/L e creatinina com alta até 50% (abaixo de 3 mg/dL) são toleráveis; reexame em 1-2 semanas</t>
        </is>
      </c>
      <c r="C18" s="35" t="inlineStr">
        <is>
          <t>ESC — Guidelines for the diagnosis and treatment of acute and chronic heart failure, 2021</t>
        </is>
      </c>
      <c r="D18" s="34" t="inlineStr">
        <is>
          <t>Diretriz de sociedade médica (ESC)</t>
        </is>
      </c>
      <c r="E18" s="33" t="inlineStr">
        <is>
          <t>Clínico geral</t>
        </is>
      </c>
      <c r="F18" s="36" t="inlineStr">
        <is>
          <t>https://academic.oup.com/eurheartj/article/42/36/3599/6358045</t>
        </is>
      </c>
    </row>
    <row r="19" ht="36" customHeight="1">
      <c r="A19" s="33" t="n">
        <v>16</v>
      </c>
      <c r="B19" s="34" t="inlineStr">
        <is>
          <t>Reforço da duração de 12 meses de dupla antiagregação após síndrome coronariana aguda</t>
        </is>
      </c>
      <c r="C19" s="35" t="inlineStr">
        <is>
          <t>ESC — Guidelines for the management of acute coronary syndromes, 2023</t>
        </is>
      </c>
      <c r="D19" s="34" t="inlineStr">
        <is>
          <t>Diretriz de sociedade médica (ESC)</t>
        </is>
      </c>
      <c r="E19" s="33" t="inlineStr">
        <is>
          <t>Clínico geral</t>
        </is>
      </c>
      <c r="F19" s="36" t="inlineStr">
        <is>
          <t>https://academic.oup.com/eurheartj/article/45/14/1193/7516285</t>
        </is>
      </c>
    </row>
    <row r="20" ht="36" customHeight="1">
      <c r="A20" s="33" t="n">
        <v>17</v>
      </c>
      <c r="B20" s="34" t="inlineStr">
        <is>
          <t>Encaminhamento para reabilitação cardíaca antes da alta é recomendação Classe 1 (a mais forte) após síndrome coronariana aguda</t>
        </is>
      </c>
      <c r="C20" s="35" t="inlineStr">
        <is>
          <t>ACC/AHA/ACEP/NAEMSP/SCAI — Guideline for the Management of Patients With Acute Coronary Syndromes, 2025</t>
        </is>
      </c>
      <c r="D20" s="34" t="inlineStr">
        <is>
          <t>Diretriz de sociedades médicas (ACC/AHA e outras)</t>
        </is>
      </c>
      <c r="E20" s="33" t="inlineStr">
        <is>
          <t>Clínico geral</t>
        </is>
      </c>
      <c r="F20" s="36" t="inlineStr">
        <is>
          <t>https://www.ahajournals.org/doi/10.1161/CIR.0000000000001309</t>
        </is>
      </c>
    </row>
    <row r="21" ht="36" customHeight="1">
      <c r="A21" s="33" t="n">
        <v>18</v>
      </c>
      <c r="B21" s="34" t="inlineStr">
        <is>
          <t>Estudo que sustenta a combinação estatina + ezetimiba para reduzir LDL após síndrome coronariana aguda (IMPROVE-IT)</t>
        </is>
      </c>
      <c r="C21" s="35" t="inlineStr">
        <is>
          <t>Cannon CP et al. — Ezetimibe Added to Statin Therapy after Acute Coronary Syndromes, N Engl J Med 2015</t>
        </is>
      </c>
      <c r="D21" s="34" t="inlineStr">
        <is>
          <t>Estudo clínico revisado por pares</t>
        </is>
      </c>
      <c r="E21" s="33" t="inlineStr">
        <is>
          <t>Alimentação</t>
        </is>
      </c>
      <c r="F21" s="36" t="inlineStr">
        <is>
          <t>https://www.nejm.org/doi/full/10.1056/NEJMoa1410489</t>
        </is>
      </c>
    </row>
    <row r="22" ht="36" customHeight="1">
      <c r="A22" s="33" t="n">
        <v>19</v>
      </c>
      <c r="B22" s="34" t="inlineStr">
        <is>
          <t>HbA1c ≥6,5% sugere diabetes prévio; abaixo de 5,7% (caso do paciente) é consistente com hiperglicemia de estresse, não diabetes</t>
        </is>
      </c>
      <c r="C22" s="35" t="inlineStr">
        <is>
          <t>American Diabetes Association — Standards of Care in Diabetes, edições 2024-2026</t>
        </is>
      </c>
      <c r="D22" s="34" t="inlineStr">
        <is>
          <t>Diretriz de sociedade médica (ADA)</t>
        </is>
      </c>
      <c r="E22" s="33" t="inlineStr">
        <is>
          <t>Clínico geral</t>
        </is>
      </c>
      <c r="F22" s="36" t="inlineStr">
        <is>
          <t>https://diabetesjournals.org/care/article/49/Supplement_1/S339/163925/16-Diabetes-Care-in-the-Hospital-Standards-of-Care</t>
        </is>
      </c>
    </row>
    <row r="23" ht="36" customHeight="1">
      <c r="A23" s="33" t="n">
        <v>20</v>
      </c>
      <c r="B23" s="34" t="inlineStr">
        <is>
          <t>Até 60% dos pacientes com hiperglicemia de estresse na internação desenvolvem diabetes em 6-12 meses</t>
        </is>
      </c>
      <c r="C23" s="35" t="inlineStr">
        <is>
          <t>Sociedade Brasileira de Diabetes — Hiperglicemia Hospitalar no Paciente Não-Crítico</t>
        </is>
      </c>
      <c r="D23" s="34" t="inlineStr">
        <is>
          <t>Diretriz de sociedade médica (SBD)</t>
        </is>
      </c>
      <c r="E23" s="33" t="inlineStr">
        <is>
          <t>Clínico geral</t>
        </is>
      </c>
      <c r="F23" s="36" t="inlineStr">
        <is>
          <t>https://diretriz.diabetes.org.br/hiperglicemia-hospitalar-em-paciente-nao-critico/</t>
        </is>
      </c>
    </row>
    <row r="24" ht="36" customHeight="1">
      <c r="A24" s="33" t="n">
        <v>21</v>
      </c>
      <c r="B24" s="34" t="inlineStr">
        <is>
          <t>Placa carotídea com estenose abaixo de 50% é tratada de forma conservadora (antiagregante, estatina, controle de pressão), sem indicação de cirurgia</t>
        </is>
      </c>
      <c r="C24" s="35" t="inlineStr">
        <is>
          <t>ESC/ESVS — Guidelines on Peripheral Arterial Diseases (2017/2018) e atualização sobre doença carotídea/vertebral (2023)</t>
        </is>
      </c>
      <c r="D24" s="34" t="inlineStr">
        <is>
          <t>Diretriz de sociedade médica (ESC/ESVS)</t>
        </is>
      </c>
      <c r="E24" s="33" t="inlineStr">
        <is>
          <t>Clínico geral</t>
        </is>
      </c>
      <c r="F24" s="36" t="inlineStr">
        <is>
          <t>https://academic.oup.com/eurheartj/article/39/9/763/4095038</t>
        </is>
      </c>
    </row>
    <row r="25" ht="36" customHeight="1">
      <c r="A25" s="33" t="n">
        <v>22</v>
      </c>
      <c r="B25" s="34" t="inlineStr">
        <is>
          <t>Mesma conduta conservadora para placa carotídea leve, do lado da prevenção de AVC</t>
        </is>
      </c>
      <c r="C25" s="35" t="inlineStr">
        <is>
          <t>AHA/ASA — Guideline for the Prevention of Stroke in Patients With Stroke and TIA, 2021</t>
        </is>
      </c>
      <c r="D25" s="34" t="inlineStr">
        <is>
          <t>Diretriz de sociedade médica (AHA/ASA)</t>
        </is>
      </c>
      <c r="E25" s="33" t="inlineStr">
        <is>
          <t>Clínico geral</t>
        </is>
      </c>
      <c r="F25" s="36" t="inlineStr">
        <is>
          <t>https://www.ahajournals.org/doi/10.1161/STR.0000000000000375</t>
        </is>
      </c>
    </row>
    <row r="27" ht="24" customHeight="1">
      <c r="A27" s="18"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59"/>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fuji (com casca)</t>
        </is>
      </c>
      <c r="B2" t="inlineStr">
        <is>
          <t>Frutas</t>
        </is>
      </c>
      <c r="C2" t="inlineStr">
        <is>
          <t>Liberado</t>
        </is>
      </c>
      <c r="D2" t="inlineStr">
        <is>
          <t>1 unidade</t>
        </is>
      </c>
      <c r="E2" t="inlineStr">
        <is>
          <t>1x/dia</t>
        </is>
      </c>
      <c r="F2" t="inlineStr">
        <is>
          <t>Vale para maçã em geral, com casca (mais fibra) — Fuji é só um pouco mais doce que outras variedades, sem diferença relevante para o quadro do paciente.</t>
        </is>
      </c>
      <c r="G2" t="inlineStr">
        <is>
          <t>X</t>
        </is>
      </c>
      <c r="H2" t="inlineStr"/>
      <c r="I2" t="inlineStr">
        <is>
          <t>X</t>
        </is>
      </c>
      <c r="J2" t="inlineStr"/>
      <c r="L2" t="inlineStr">
        <is>
          <t>Maçã fuji (com casca)</t>
        </is>
      </c>
      <c r="M2" t="inlineStr">
        <is>
          <t>Arroz integral</t>
        </is>
      </c>
      <c r="N2" t="inlineStr">
        <is>
          <t>Maçã fuji (com casca)</t>
        </is>
      </c>
      <c r="O2" t="inlineStr">
        <is>
          <t>Arroz integral</t>
        </is>
      </c>
      <c r="Q2" t="inlineStr">
        <is>
          <t>Frutas|Café da manhã</t>
        </is>
      </c>
      <c r="R2" t="inlineStr">
        <is>
          <t>Maçã fuji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 integral em flocos</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Sashimi de salmão</t>
        </is>
      </c>
      <c r="N4" t="inlineStr">
        <is>
          <t>Abacate</t>
        </is>
      </c>
      <c r="O4" t="inlineStr">
        <is>
          <t>Sashimi de salmão</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 integral em flocos</t>
        </is>
      </c>
      <c r="M5" t="inlineStr">
        <is>
          <t>Frango sem pele</t>
        </is>
      </c>
      <c r="N5" t="inlineStr">
        <is>
          <t>Pão de forma integral</t>
        </is>
      </c>
      <c r="O5" t="inlineStr">
        <is>
          <t>Frango sem pele</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Ovo</t>
        </is>
      </c>
      <c r="N6" t="inlineStr">
        <is>
          <t>Pão francês integral (multigrãos)</t>
        </is>
      </c>
      <c r="O6" t="inlineStr">
        <is>
          <t>Ovo</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Feijão / leguminosas</t>
        </is>
      </c>
      <c r="N7" t="inlineStr">
        <is>
          <t>Granola zero açúcar</t>
        </is>
      </c>
      <c r="O7" t="inlineStr">
        <is>
          <t>Feijão / leguminosas</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Granola zero açúcar</t>
        </is>
      </c>
      <c r="M8" t="inlineStr">
        <is>
          <t>Água</t>
        </is>
      </c>
      <c r="N8" t="inlineStr">
        <is>
          <t>Granola zero açúcar</t>
        </is>
      </c>
      <c r="O8" t="inlineStr">
        <is>
          <t>Água</t>
        </is>
      </c>
      <c r="Q8" t="inlineStr">
        <is>
          <t>Gorduras e Temperos|Café da manhã</t>
        </is>
      </c>
      <c r="R8" t="inlineStr">
        <is>
          <t>Creme de tahine</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Granola zero açúcar</t>
        </is>
      </c>
      <c r="M9" t="inlineStr">
        <is>
          <t>Azeite de oliva extra virgem</t>
        </is>
      </c>
      <c r="N9" t="inlineStr">
        <is>
          <t>Leite desnatado</t>
        </is>
      </c>
      <c r="O9" t="inlineStr">
        <is>
          <t>Azeite de oliva extra virgem</t>
        </is>
      </c>
      <c r="Q9" t="inlineStr">
        <is>
          <t>Vegetais e Verduras|Café da manhã</t>
        </is>
      </c>
      <c r="R9" t="inlineStr">
        <is>
          <t>Vegetais e verduras em geral</t>
        </is>
      </c>
      <c r="T9" t="inlineStr">
        <is>
          <t>Gorduras e Temperos</t>
        </is>
      </c>
      <c r="U9" t="inlineStr">
        <is>
          <t>Vegetais e Verduras</t>
        </is>
      </c>
    </row>
    <row r="10">
      <c r="A10" t="inlineStr">
        <is>
          <t>Aveia integral em flocos</t>
        </is>
      </c>
      <c r="B10" t="inlineStr">
        <is>
          <t>Grãos e Cereais</t>
        </is>
      </c>
      <c r="C10" t="inlineStr">
        <is>
          <t>Liberado</t>
        </is>
      </c>
      <c r="D10" t="inlineStr">
        <is>
          <t>2 colheres de sopa (~30 g)</t>
        </is>
      </c>
      <c r="E10" t="inlineStr">
        <is>
          <t>1x/dia</t>
        </is>
      </c>
      <c r="F10" t="inlineStr">
        <is>
          <t>Rótulo real: 110 kcal, 2,8 g de fibra (1,2 g de beta-glucana — a fibra solúvel que ajuda a reduzir o colesterol), sem açúcar adicionado, 0 mg de sódio.</t>
        </is>
      </c>
      <c r="G10" t="inlineStr">
        <is>
          <t>X</t>
        </is>
      </c>
      <c r="H10" t="inlineStr"/>
      <c r="I10" t="inlineStr"/>
      <c r="J10" t="inlineStr"/>
      <c r="L10" t="inlineStr">
        <is>
          <t>Ovo</t>
        </is>
      </c>
      <c r="M10" t="inlineStr">
        <is>
          <t>Creme de tahine</t>
        </is>
      </c>
      <c r="N10" t="inlineStr">
        <is>
          <t>Queijo branco frescal</t>
        </is>
      </c>
      <c r="O10" t="inlineStr">
        <is>
          <t>Creme de tahine</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Leite desnatado</t>
        </is>
      </c>
      <c r="M11" t="inlineStr">
        <is>
          <t>Ervas e temperos naturais</t>
        </is>
      </c>
      <c r="N11" t="inlineStr">
        <is>
          <t>Queijo frescal light</t>
        </is>
      </c>
      <c r="O11" t="inlineStr">
        <is>
          <t>Ervas e temperos naturais</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Queijo branco frescal</t>
        </is>
      </c>
      <c r="M12" t="inlineStr">
        <is>
          <t>Vegetais e verduras em geral</t>
        </is>
      </c>
      <c r="N12" t="inlineStr">
        <is>
          <t>Iogurte natural (desnatado, sem açúcar)</t>
        </is>
      </c>
      <c r="O12" t="inlineStr">
        <is>
          <t>Vegetais e verduras em geral</t>
        </is>
      </c>
      <c r="Q12" t="inlineStr">
        <is>
          <t>Bebidas|Almoço</t>
        </is>
      </c>
      <c r="R12" t="inlineStr">
        <is>
          <t>Água</t>
        </is>
      </c>
    </row>
    <row r="13">
      <c r="A13" t="inlineStr">
        <is>
          <t>Tortilha</t>
        </is>
      </c>
      <c r="B13" t="inlineStr">
        <is>
          <t>Grãos e Cereais</t>
        </is>
      </c>
      <c r="C13" t="inlineStr">
        <is>
          <t>Moderar</t>
        </is>
      </c>
      <c r="D13" t="inlineStr">
        <is>
          <t>1 unidade (33 g)</t>
        </is>
      </c>
      <c r="E13" t="inlineStr">
        <is>
          <t>3x/semana</t>
        </is>
      </c>
      <c r="F13" t="inlineStr">
        <is>
          <t>Rótulo real (porção 40 g ≈ 1 unidade): 120 kcal, 170 mg de sódio, 1,6 g de gordura saturada, 1,2 g de fibras, 0 g de gordura trans, pouco açúcar adicionado (0,3 g). Sódio e gordura saturada acima do que se espera de uma tortilha simples — moderar a frequência e, se possível, somar com o restante do sódio do dia. Contém glúten (triticale). Sugestão gerada por IA — confirmar com nutricionista/cardiologista.</t>
        </is>
      </c>
      <c r="G13" t="inlineStr">
        <is>
          <t>X</t>
        </is>
      </c>
      <c r="H13" t="inlineStr">
        <is>
          <t>X</t>
        </is>
      </c>
      <c r="I13" t="inlineStr">
        <is>
          <t>X</t>
        </is>
      </c>
      <c r="J13" t="inlineStr">
        <is>
          <t>X</t>
        </is>
      </c>
      <c r="L13" t="inlineStr">
        <is>
          <t>Queijo frescal light</t>
        </is>
      </c>
      <c r="M13" t="inlineStr">
        <is>
          <t>Brócolis</t>
        </is>
      </c>
      <c r="N13" t="inlineStr">
        <is>
          <t>Iogurte grego zero</t>
        </is>
      </c>
      <c r="O13" t="inlineStr">
        <is>
          <t>Brócolis</t>
        </is>
      </c>
      <c r="Q13" t="inlineStr">
        <is>
          <t>Doces e Sobremesas|Almoço</t>
        </is>
      </c>
      <c r="R13" t="inlineStr">
        <is>
          <t>Açúcar refinado</t>
        </is>
      </c>
    </row>
    <row r="14">
      <c r="A14" t="inlineStr">
        <is>
          <t>Granola zero açúcar</t>
        </is>
      </c>
      <c r="B14" t="inlineStr">
        <is>
          <t>Grãos e Cereais</t>
        </is>
      </c>
      <c r="C14" t="inlineStr">
        <is>
          <t>Liberado</t>
        </is>
      </c>
      <c r="D14" t="inlineStr">
        <is>
          <t>20 g (1 colher de sopa)</t>
        </is>
      </c>
      <c r="E14" t="inlineStr">
        <is>
          <t>1x/dia</t>
        </is>
      </c>
      <c r="F14"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c r="G14" t="inlineStr">
        <is>
          <t>X</t>
        </is>
      </c>
      <c r="H14" t="inlineStr"/>
      <c r="I14" t="inlineStr">
        <is>
          <t>X</t>
        </is>
      </c>
      <c r="J14" t="inlineStr"/>
      <c r="L14" t="inlineStr">
        <is>
          <t>Iogurte natural (desnatado, sem açúcar)</t>
        </is>
      </c>
      <c r="M14" t="inlineStr">
        <is>
          <t>Couve</t>
        </is>
      </c>
      <c r="N14" t="inlineStr">
        <is>
          <t>Água</t>
        </is>
      </c>
      <c r="O14" t="inlineStr">
        <is>
          <t>Couve</t>
        </is>
      </c>
      <c r="Q14" t="inlineStr">
        <is>
          <t>Gorduras e Temperos|Almoço</t>
        </is>
      </c>
      <c r="R14" t="inlineStr">
        <is>
          <t>Azeite de oliva extra virgem</t>
        </is>
      </c>
    </row>
    <row r="15">
      <c r="A15" t="inlineStr">
        <is>
          <t>Granola zero açúcar</t>
        </is>
      </c>
      <c r="B15" t="inlineStr">
        <is>
          <t>Grãos e Cereais</t>
        </is>
      </c>
      <c r="C15" t="inlineStr">
        <is>
          <t>Liberado</t>
        </is>
      </c>
      <c r="D15" t="inlineStr">
        <is>
          <t>20 g (1 colher de sopa)</t>
        </is>
      </c>
      <c r="E15" t="inlineStr">
        <is>
          <t>1x/dia</t>
        </is>
      </c>
      <c r="F15" t="inlineStr">
        <is>
          <t>Rótulo real (a porção do rótulo é 40 g/½ xícara; valores abaixo recalculados para 20 g, para manter a mesma porção das demais granolas da planilha): ~91 kcal, 3,6 g de gordura (0,7 g saturada, 0 g trans), 12 g de carboidrato, 0,3 g de açúcar total e zero adicionado (adoçada com eritritol, maltitol e glicosídeos de esteviol — polióis, geralmente bem tolerados nessa quantidade), 2,2 g de proteína, 1,6 g de fibra, só 1,3 mg de sódio (praticamente sem sódio). Leva castanha-do-pará, castanha-de-caju, coco e óleo vegetal — por isso é calórica e tem gordura saturada relevante mesmo sendo zero açúcar: manter a porção, sem repetir a colher. Contém glúten (aveia, flocos de trigo); pode conter diversos alérgenos por contaminação cruzada (amendoim, leite, castanhas variadas, soja).</t>
        </is>
      </c>
      <c r="G15" t="inlineStr">
        <is>
          <t>X</t>
        </is>
      </c>
      <c r="H15" t="inlineStr"/>
      <c r="I15" t="inlineStr">
        <is>
          <t>X</t>
        </is>
      </c>
      <c r="J15" t="inlineStr"/>
      <c r="L15" t="inlineStr">
        <is>
          <t>Iogurte grego zero</t>
        </is>
      </c>
      <c r="M15" t="inlineStr">
        <is>
          <t>Espinafre</t>
        </is>
      </c>
      <c r="N15" t="inlineStr">
        <is>
          <t>Café sem açúcar</t>
        </is>
      </c>
      <c r="O15" t="inlineStr">
        <is>
          <t>Espinafre</t>
        </is>
      </c>
      <c r="Q15" t="inlineStr">
        <is>
          <t>Vegetais e Verduras|Almoço</t>
        </is>
      </c>
      <c r="R15" t="inlineStr">
        <is>
          <t>Vegetais e verduras em geral</t>
        </is>
      </c>
    </row>
    <row r="16">
      <c r="A16" t="inlineStr">
        <is>
          <t>Peixe</t>
        </is>
      </c>
      <c r="B16" t="inlineStr">
        <is>
          <t>Proteínas</t>
        </is>
      </c>
      <c r="C16" t="inlineStr">
        <is>
          <t>Liberado</t>
        </is>
      </c>
      <c r="D16" t="inlineStr">
        <is>
          <t>150 g</t>
        </is>
      </c>
      <c r="E16" t="inlineStr">
        <is>
          <t>3x/semana</t>
        </is>
      </c>
      <c r="F16" t="inlineStr">
        <is>
          <t>Fonte de ômega-3</t>
        </is>
      </c>
      <c r="G16" t="inlineStr"/>
      <c r="H16" t="inlineStr">
        <is>
          <t>X</t>
        </is>
      </c>
      <c r="I16" t="inlineStr"/>
      <c r="J16" t="inlineStr">
        <is>
          <t>X</t>
        </is>
      </c>
      <c r="L16" t="inlineStr">
        <is>
          <t>Água</t>
        </is>
      </c>
      <c r="M16" t="inlineStr">
        <is>
          <t>Tomate</t>
        </is>
      </c>
      <c r="N16" t="inlineStr">
        <is>
          <t>Creme de tahine</t>
        </is>
      </c>
      <c r="O16" t="inlineStr">
        <is>
          <t>Tomate</t>
        </is>
      </c>
      <c r="Q16" t="inlineStr">
        <is>
          <t>Frutas|Lanche</t>
        </is>
      </c>
      <c r="R16" t="inlineStr">
        <is>
          <t>Maçã fuji (com casca)</t>
        </is>
      </c>
    </row>
    <row r="17">
      <c r="A17" t="inlineStr">
        <is>
          <t>Sashimi de salmão</t>
        </is>
      </c>
      <c r="B17" t="inlineStr">
        <is>
          <t>Proteínas</t>
        </is>
      </c>
      <c r="C17" t="inlineStr">
        <is>
          <t>Liberado</t>
        </is>
      </c>
      <c r="D17" t="inlineStr">
        <is>
          <t>150 g (6-8 fatias)</t>
        </is>
      </c>
      <c r="E17" t="inlineStr">
        <is>
          <t>1-2x/semana</t>
        </is>
      </c>
      <c r="F17" t="inlineStr">
        <is>
          <t>Peixe cru, sem arroz — mesma fonte de ômega-3 do peixe grelhado, conta na mesma cota semanal de peixe. Cuidado é só com o shoyu (molho de soja) do acompanhamento, rico em sódio: usar pouco. Sugestão gerada por IA — confirmar com nutricionista/cardiologista.</t>
        </is>
      </c>
      <c r="G17" t="inlineStr"/>
      <c r="H17" t="inlineStr">
        <is>
          <t>X</t>
        </is>
      </c>
      <c r="I17" t="inlineStr"/>
      <c r="J17" t="inlineStr">
        <is>
          <t>X</t>
        </is>
      </c>
      <c r="L17" t="inlineStr">
        <is>
          <t>Café sem açúcar</t>
        </is>
      </c>
      <c r="M17" t="inlineStr">
        <is>
          <t>Cenoura</t>
        </is>
      </c>
      <c r="N17" t="inlineStr">
        <is>
          <t>Vegetais e verduras em geral</t>
        </is>
      </c>
      <c r="O17" t="inlineStr">
        <is>
          <t>Cenoura</t>
        </is>
      </c>
      <c r="Q17" t="inlineStr">
        <is>
          <t>Grãos e Cereais|Lanche</t>
        </is>
      </c>
      <c r="R17" t="inlineStr">
        <is>
          <t>Pão de forma integral</t>
        </is>
      </c>
    </row>
    <row r="18">
      <c r="A18" t="inlineStr">
        <is>
          <t>Sushi de salmão</t>
        </is>
      </c>
      <c r="B18" t="inlineStr">
        <is>
          <t>Proteínas</t>
        </is>
      </c>
      <c r="C18" t="inlineStr">
        <is>
          <t>Moderar</t>
        </is>
      </c>
      <c r="D18" t="inlineStr">
        <is>
          <t>8-10 peças (nigiri/hossomaki)</t>
        </is>
      </c>
      <c r="E18" t="inlineStr">
        <is>
          <t>1x/semana</t>
        </is>
      </c>
      <c r="F18"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c r="G18" t="inlineStr"/>
      <c r="H18" t="inlineStr">
        <is>
          <t>X</t>
        </is>
      </c>
      <c r="I18" t="inlineStr"/>
      <c r="J18" t="inlineStr">
        <is>
          <t>X</t>
        </is>
      </c>
      <c r="L18" t="inlineStr">
        <is>
          <t>Creme de tahine</t>
        </is>
      </c>
      <c r="M18" t="inlineStr">
        <is>
          <t>Abobrinha</t>
        </is>
      </c>
      <c r="N18" t="inlineStr">
        <is>
          <t>Tomate</t>
        </is>
      </c>
      <c r="O18" t="inlineStr">
        <is>
          <t>Abobrinha</t>
        </is>
      </c>
      <c r="Q18" t="inlineStr">
        <is>
          <t>Laticínios|Lanche</t>
        </is>
      </c>
      <c r="R18" t="inlineStr">
        <is>
          <t>Leite desnatado</t>
        </is>
      </c>
    </row>
    <row r="19">
      <c r="A19" t="inlineStr">
        <is>
          <t>Frango sem pele</t>
        </is>
      </c>
      <c r="B19" t="inlineStr">
        <is>
          <t>Proteínas</t>
        </is>
      </c>
      <c r="C19" t="inlineStr">
        <is>
          <t>Liberado</t>
        </is>
      </c>
      <c r="D19" t="inlineStr">
        <is>
          <t>150 g</t>
        </is>
      </c>
      <c r="E19" t="inlineStr">
        <is>
          <t>quase todo dia</t>
        </is>
      </c>
      <c r="F19" t="inlineStr"/>
      <c r="G19" t="inlineStr"/>
      <c r="H19" t="inlineStr">
        <is>
          <t>X</t>
        </is>
      </c>
      <c r="I19" t="inlineStr"/>
      <c r="J19" t="inlineStr">
        <is>
          <t>X</t>
        </is>
      </c>
      <c r="L19" t="inlineStr">
        <is>
          <t>Vegetais e verduras em geral</t>
        </is>
      </c>
      <c r="M19" t="inlineStr">
        <is>
          <t>Beterraba</t>
        </is>
      </c>
      <c r="N19" t="inlineStr">
        <is>
          <t>Cenoura</t>
        </is>
      </c>
      <c r="O19" t="inlineStr">
        <is>
          <t>Beterraba</t>
        </is>
      </c>
      <c r="Q19" t="inlineStr">
        <is>
          <t>Bebidas|Lanche</t>
        </is>
      </c>
      <c r="R19" t="inlineStr">
        <is>
          <t>Água</t>
        </is>
      </c>
    </row>
    <row r="20">
      <c r="A20" t="inlineStr">
        <is>
          <t>Carne vermelha magra</t>
        </is>
      </c>
      <c r="B20" t="inlineStr">
        <is>
          <t>Proteínas</t>
        </is>
      </c>
      <c r="C20" t="inlineStr">
        <is>
          <t>Moderar</t>
        </is>
      </c>
      <c r="D20" t="inlineStr">
        <is>
          <t>150 g</t>
        </is>
      </c>
      <c r="E20" t="inlineStr">
        <is>
          <t>1x/semana</t>
        </is>
      </c>
      <c r="F20" t="inlineStr">
        <is>
          <t>Preferir cortes magros</t>
        </is>
      </c>
      <c r="G20" t="inlineStr"/>
      <c r="H20" t="inlineStr">
        <is>
          <t>X</t>
        </is>
      </c>
      <c r="I20" t="inlineStr"/>
      <c r="J20" t="inlineStr">
        <is>
          <t>X</t>
        </is>
      </c>
      <c r="L20" t="inlineStr">
        <is>
          <t>Tomate</t>
        </is>
      </c>
      <c r="M20" t="inlineStr">
        <is>
          <t>Alface e folhas verdes (rúcula, agrião)</t>
        </is>
      </c>
      <c r="N20" t="inlineStr">
        <is>
          <t>Alface e folhas verdes (rúcula, agrião)</t>
        </is>
      </c>
      <c r="O20" t="inlineStr">
        <is>
          <t>Alface e folhas verdes (rúcula, agrião)</t>
        </is>
      </c>
      <c r="Q20" t="inlineStr">
        <is>
          <t>Doces e Sobremesas|Lanche</t>
        </is>
      </c>
      <c r="R20" t="inlineStr">
        <is>
          <t>Açúcar refinado</t>
        </is>
      </c>
    </row>
    <row r="21">
      <c r="A21" t="inlineStr">
        <is>
          <t>Ovo</t>
        </is>
      </c>
      <c r="B21" t="inlineStr">
        <is>
          <t>Proteínas</t>
        </is>
      </c>
      <c r="C21" t="inlineStr">
        <is>
          <t>Liberado</t>
        </is>
      </c>
      <c r="D21" t="inlineStr">
        <is>
          <t>1 unidade</t>
        </is>
      </c>
      <c r="E21" t="inlineStr">
        <is>
          <t>até 5x/semana</t>
        </is>
      </c>
      <c r="F21" t="inlineStr"/>
      <c r="G21" t="inlineStr">
        <is>
          <t>X</t>
        </is>
      </c>
      <c r="H21" t="inlineStr">
        <is>
          <t>X</t>
        </is>
      </c>
      <c r="I21" t="inlineStr"/>
      <c r="J21" t="inlineStr">
        <is>
          <t>X</t>
        </is>
      </c>
      <c r="L21" t="inlineStr">
        <is>
          <t>Uva</t>
        </is>
      </c>
      <c r="M21" t="inlineStr">
        <is>
          <t>Pepino</t>
        </is>
      </c>
      <c r="N21" t="inlineStr">
        <is>
          <t>Pepino</t>
        </is>
      </c>
      <c r="O21" t="inlineStr">
        <is>
          <t>Pepino</t>
        </is>
      </c>
      <c r="Q21" t="inlineStr">
        <is>
          <t>Gorduras e Temperos|Lanche</t>
        </is>
      </c>
      <c r="R21" t="inlineStr">
        <is>
          <t>Creme de tahine</t>
        </is>
      </c>
    </row>
    <row r="22">
      <c r="A22" t="inlineStr">
        <is>
          <t>Feijão / leguminosas</t>
        </is>
      </c>
      <c r="B22" t="inlineStr">
        <is>
          <t>Proteínas</t>
        </is>
      </c>
      <c r="C22" t="inlineStr">
        <is>
          <t>Liberado</t>
        </is>
      </c>
      <c r="D22" t="inlineStr">
        <is>
          <t>1 concha</t>
        </is>
      </c>
      <c r="E22" t="inlineStr">
        <is>
          <t>1x/dia</t>
        </is>
      </c>
      <c r="F22" t="inlineStr"/>
      <c r="G22" t="inlineStr"/>
      <c r="H22" t="inlineStr">
        <is>
          <t>X</t>
        </is>
      </c>
      <c r="I22" t="inlineStr"/>
      <c r="J22" t="inlineStr">
        <is>
          <t>X</t>
        </is>
      </c>
      <c r="L22" t="inlineStr">
        <is>
          <t>Manga</t>
        </is>
      </c>
      <c r="M22" t="inlineStr">
        <is>
          <t>Berinjela</t>
        </is>
      </c>
      <c r="N22" t="inlineStr">
        <is>
          <t>Pimentão</t>
        </is>
      </c>
      <c r="O22" t="inlineStr">
        <is>
          <t>Berinjela</t>
        </is>
      </c>
      <c r="Q22" t="inlineStr">
        <is>
          <t>Vegetais e Verduras|Lanche</t>
        </is>
      </c>
      <c r="R22" t="inlineStr">
        <is>
          <t>Vegetais e verduras em geral</t>
        </is>
      </c>
    </row>
    <row r="23">
      <c r="A23" t="inlineStr">
        <is>
          <t>Kare (curry japonês) com lombo de porco</t>
        </is>
      </c>
      <c r="B23" t="inlineStr">
        <is>
          <t>Proteínas</t>
        </is>
      </c>
      <c r="C23" t="inlineStr">
        <is>
          <t>Moderar</t>
        </is>
      </c>
      <c r="D23" t="inlineStr">
        <is>
          <t>1 concha (150-200 g do preparo, sem contar o arroz)</t>
        </is>
      </c>
      <c r="E23" t="inlineStr">
        <is>
          <t>1x/semana</t>
        </is>
      </c>
      <c r="F23" t="inlineStr">
        <is>
          <t>O tablete de curry (roux) pronto costuma ser rico em sódio e conter gordura saturada (geralmente óleo de palma) na sua composição, além de ser espessado com farinha de trigo — é o principal ponto de atenção do prato, não o lombo suíno (corte magro) nem os vegetais (batata, cenoura, cebola). Preferir marcas com menos sódio por porção, se o rótulo estiver disponível. Sugestão gerada por IA — confirmar com nutricionista/cardiologista.</t>
        </is>
      </c>
      <c r="G23" t="inlineStr"/>
      <c r="H23" t="inlineStr">
        <is>
          <t>X</t>
        </is>
      </c>
      <c r="I23" t="inlineStr"/>
      <c r="J23" t="inlineStr">
        <is>
          <t>X</t>
        </is>
      </c>
      <c r="L23" t="inlineStr">
        <is>
          <t>Tortilha</t>
        </is>
      </c>
      <c r="M23" t="inlineStr">
        <is>
          <t>Pimentão</t>
        </is>
      </c>
      <c r="N23" t="inlineStr">
        <is>
          <t>Uva</t>
        </is>
      </c>
      <c r="O23" t="inlineStr">
        <is>
          <t>Pimentão</t>
        </is>
      </c>
      <c r="Q23" t="inlineStr">
        <is>
          <t>Grãos e Cereais|Jantar</t>
        </is>
      </c>
      <c r="R23" t="inlineStr">
        <is>
          <t>Arroz integral</t>
        </is>
      </c>
    </row>
    <row r="24">
      <c r="A24" t="inlineStr">
        <is>
          <t>Leite desnatado</t>
        </is>
      </c>
      <c r="B24" t="inlineStr">
        <is>
          <t>Laticínios</t>
        </is>
      </c>
      <c r="C24" t="inlineStr">
        <is>
          <t>Liberado</t>
        </is>
      </c>
      <c r="D24" t="inlineStr">
        <is>
          <t>200 ml</t>
        </is>
      </c>
      <c r="E24" t="inlineStr">
        <is>
          <t>1x/dia</t>
        </is>
      </c>
      <c r="F24" t="inlineStr"/>
      <c r="G24" t="inlineStr">
        <is>
          <t>X</t>
        </is>
      </c>
      <c r="H24" t="inlineStr"/>
      <c r="I24" t="inlineStr">
        <is>
          <t>X</t>
        </is>
      </c>
      <c r="J24" t="inlineStr"/>
      <c r="L24" t="inlineStr">
        <is>
          <t>Mussarela</t>
        </is>
      </c>
      <c r="M24" t="inlineStr">
        <is>
          <t>Repolho</t>
        </is>
      </c>
      <c r="N24" t="inlineStr">
        <is>
          <t>Manga</t>
        </is>
      </c>
      <c r="O24" t="inlineStr">
        <is>
          <t>Repolho</t>
        </is>
      </c>
      <c r="Q24" t="inlineStr">
        <is>
          <t>Proteínas|Jantar</t>
        </is>
      </c>
      <c r="R24" t="inlineStr">
        <is>
          <t>Peixe</t>
        </is>
      </c>
    </row>
    <row r="25">
      <c r="A25" t="inlineStr">
        <is>
          <t>Queijo branco frescal</t>
        </is>
      </c>
      <c r="B25" t="inlineStr">
        <is>
          <t>Laticínios</t>
        </is>
      </c>
      <c r="C25" t="inlineStr">
        <is>
          <t>Liberado</t>
        </is>
      </c>
      <c r="D25" t="inlineStr">
        <is>
          <t>30 g</t>
        </is>
      </c>
      <c r="E25" t="inlineStr">
        <is>
          <t>3x/semana</t>
        </is>
      </c>
      <c r="F25" t="inlineStr">
        <is>
          <t>Tipo fresco (ex.: Minas frescal), sem cura/salga pesada — bem menos sódio e gordura que queijos curados. Sugestão gerada por IA — confirmar com nutricionista/cardiologista.</t>
        </is>
      </c>
      <c r="G25" t="inlineStr">
        <is>
          <t>X</t>
        </is>
      </c>
      <c r="H25" t="inlineStr"/>
      <c r="I25" t="inlineStr">
        <is>
          <t>X</t>
        </is>
      </c>
      <c r="J25" t="inlineStr"/>
      <c r="L25" t="inlineStr">
        <is>
          <t>Requeijão</t>
        </is>
      </c>
      <c r="M25" t="inlineStr">
        <is>
          <t>Arroz branco</t>
        </is>
      </c>
      <c r="N25" t="inlineStr">
        <is>
          <t>Tortilha</t>
        </is>
      </c>
      <c r="O25" t="inlineStr">
        <is>
          <t>Arroz branco</t>
        </is>
      </c>
      <c r="Q25" t="inlineStr">
        <is>
          <t>Bebidas|Jantar</t>
        </is>
      </c>
      <c r="R25" t="inlineStr">
        <is>
          <t>Água</t>
        </is>
      </c>
    </row>
    <row r="26">
      <c r="A26" t="inlineStr">
        <is>
          <t>Queijo frescal light</t>
        </is>
      </c>
      <c r="B26" t="inlineStr">
        <is>
          <t>Laticínios</t>
        </is>
      </c>
      <c r="C26" t="inlineStr">
        <is>
          <t>Liberado</t>
        </is>
      </c>
      <c r="D26" t="inlineStr">
        <is>
          <t>30 g (1 fatia)</t>
        </is>
      </c>
      <c r="E26" t="inlineStr">
        <is>
          <t>3x/semana</t>
        </is>
      </c>
      <c r="F26" t="inlineStr">
        <is>
          <t>Rótulo real: 41 kcal e 105 mg de sódio por porção (bem abaixo de queijos comuns), 1,5 g de gordura saturada, sem açúcar adicionado. Contém lactose; sem glúten; pode conter soja.</t>
        </is>
      </c>
      <c r="G26" t="inlineStr">
        <is>
          <t>X</t>
        </is>
      </c>
      <c r="H26" t="inlineStr"/>
      <c r="I26" t="inlineStr">
        <is>
          <t>X</t>
        </is>
      </c>
      <c r="J26" t="inlineStr"/>
      <c r="L26" t="inlineStr">
        <is>
          <t>Cream cheese light</t>
        </is>
      </c>
      <c r="M26" t="inlineStr">
        <is>
          <t>Tortilha</t>
        </is>
      </c>
      <c r="N26" t="inlineStr">
        <is>
          <t>Mussarela</t>
        </is>
      </c>
      <c r="O26" t="inlineStr">
        <is>
          <t>Tortilha</t>
        </is>
      </c>
      <c r="Q26" t="inlineStr">
        <is>
          <t>Doces e Sobremesas|Jantar</t>
        </is>
      </c>
      <c r="R26" t="inlineStr">
        <is>
          <t>Açúcar refinado</t>
        </is>
      </c>
    </row>
    <row r="27">
      <c r="A27" t="inlineStr">
        <is>
          <t>Mussarela</t>
        </is>
      </c>
      <c r="B27" t="inlineStr">
        <is>
          <t>Laticínios</t>
        </is>
      </c>
      <c r="C27" t="inlineStr">
        <is>
          <t>Moderar</t>
        </is>
      </c>
      <c r="D27" t="inlineStr">
        <is>
          <t>30 g</t>
        </is>
      </c>
      <c r="E27" t="inlineStr">
        <is>
          <t>2x/semana</t>
        </is>
      </c>
      <c r="F27" t="inlineStr">
        <is>
          <t>Mais gordura saturada e sódio que o queijo branco frescal; prefira o frescal no dia a dia. Sugestão gerada por IA — confirmar com nutricionista/cardiologista.</t>
        </is>
      </c>
      <c r="G27" t="inlineStr">
        <is>
          <t>X</t>
        </is>
      </c>
      <c r="H27" t="inlineStr"/>
      <c r="I27" t="inlineStr">
        <is>
          <t>X</t>
        </is>
      </c>
      <c r="J27" t="inlineStr"/>
      <c r="L27" t="inlineStr">
        <is>
          <t>Suco natural sem açúcar</t>
        </is>
      </c>
      <c r="M27" t="inlineStr">
        <is>
          <t>Sushi de salmão</t>
        </is>
      </c>
      <c r="N27" t="inlineStr">
        <is>
          <t>Requeijão</t>
        </is>
      </c>
      <c r="O27" t="inlineStr">
        <is>
          <t>Sushi de salmão</t>
        </is>
      </c>
      <c r="Q27" t="inlineStr">
        <is>
          <t>Gorduras e Temperos|Jantar</t>
        </is>
      </c>
      <c r="R27" t="inlineStr">
        <is>
          <t>Azeite de oliva extra virgem</t>
        </is>
      </c>
    </row>
    <row r="28">
      <c r="A28" t="inlineStr">
        <is>
          <t>Iogurte natural (desnatado, sem açúcar)</t>
        </is>
      </c>
      <c r="B28" t="inlineStr">
        <is>
          <t>Laticínios</t>
        </is>
      </c>
      <c r="C28" t="inlineStr">
        <is>
          <t>Liberado</t>
        </is>
      </c>
      <c r="D28" t="inlineStr">
        <is>
          <t>1 unidade</t>
        </is>
      </c>
      <c r="E28" t="inlineStr">
        <is>
          <t>1x/dia</t>
        </is>
      </c>
      <c r="F28" t="inlineStr">
        <is>
          <t>Prefira sempre a versão sem açúcar adicionado</t>
        </is>
      </c>
      <c r="G28" t="inlineStr">
        <is>
          <t>X</t>
        </is>
      </c>
      <c r="H28" t="inlineStr"/>
      <c r="I28" t="inlineStr">
        <is>
          <t>X</t>
        </is>
      </c>
      <c r="J28" t="inlineStr"/>
      <c r="L28" t="inlineStr">
        <is>
          <t>Toranja / grapefruit</t>
        </is>
      </c>
      <c r="M28" t="inlineStr">
        <is>
          <t>Carne vermelha magra</t>
        </is>
      </c>
      <c r="N28" t="inlineStr">
        <is>
          <t>Cream cheese light</t>
        </is>
      </c>
      <c r="O28" t="inlineStr">
        <is>
          <t>Carne vermelha magra</t>
        </is>
      </c>
      <c r="Q28" t="inlineStr">
        <is>
          <t>Vegetais e Verduras|Jantar</t>
        </is>
      </c>
      <c r="R28" t="inlineStr">
        <is>
          <t>Vegetais e verduras em geral</t>
        </is>
      </c>
    </row>
    <row r="29">
      <c r="A29" t="inlineStr">
        <is>
          <t>Iogurte grego zero</t>
        </is>
      </c>
      <c r="B29" t="inlineStr">
        <is>
          <t>Laticínios</t>
        </is>
      </c>
      <c r="C29" t="inlineStr">
        <is>
          <t>Liberado</t>
        </is>
      </c>
      <c r="D29" t="inlineStr">
        <is>
          <t>90 g (1 pote)</t>
        </is>
      </c>
      <c r="E29" t="inlineStr">
        <is>
          <t>1x/dia</t>
        </is>
      </c>
      <c r="F29" t="inlineStr">
        <is>
          <t>Rótulo real: 50 kcal, 6,8 g de proteína (bem mais que iogurte comum), 0,2 g de gordura, 51 mg de sódio, zero adição de açúcar/gordura, sem lactose. Contém edulcorantes (sucralose e ciclamato).</t>
        </is>
      </c>
      <c r="G29" t="inlineStr">
        <is>
          <t>X</t>
        </is>
      </c>
      <c r="H29" t="inlineStr"/>
      <c r="I29" t="inlineStr">
        <is>
          <t>X</t>
        </is>
      </c>
      <c r="J29" t="inlineStr"/>
      <c r="L29" t="inlineStr">
        <is>
          <t>Suco de toranja / grapefruit</t>
        </is>
      </c>
      <c r="M29" t="inlineStr">
        <is>
          <t>Kare (curry japonês) com lombo de porco</t>
        </is>
      </c>
      <c r="N29" t="inlineStr">
        <is>
          <t>Refrigerante zero</t>
        </is>
      </c>
      <c r="O29" t="inlineStr">
        <is>
          <t>Kare (curry japonês) com lombo de porco</t>
        </is>
      </c>
    </row>
    <row r="30">
      <c r="A30" t="inlineStr">
        <is>
          <t>Requeijão</t>
        </is>
      </c>
      <c r="B30" t="inlineStr">
        <is>
          <t>Laticínios</t>
        </is>
      </c>
      <c r="C30" t="inlineStr">
        <is>
          <t>Moderar</t>
        </is>
      </c>
      <c r="D30" t="inlineStr">
        <is>
          <t>1 colher de sopa (≈15 g)</t>
        </is>
      </c>
      <c r="E30" t="inlineStr">
        <is>
          <t>2x/semana</t>
        </is>
      </c>
      <c r="F30" t="inlineStr">
        <is>
          <t>Rico em gordura saturada e sódio; prefira a versão light. Sugestão gerada por IA — confirmar com nutricionista/cardiologista.</t>
        </is>
      </c>
      <c r="G30" t="inlineStr">
        <is>
          <t>X</t>
        </is>
      </c>
      <c r="H30" t="inlineStr"/>
      <c r="I30" t="inlineStr">
        <is>
          <t>X</t>
        </is>
      </c>
      <c r="J30" t="inlineStr"/>
      <c r="L30" t="inlineStr">
        <is>
          <t>Açúcar refinado</t>
        </is>
      </c>
      <c r="M30" t="inlineStr">
        <is>
          <t>Refrigerante zero</t>
        </is>
      </c>
      <c r="N30" t="inlineStr">
        <is>
          <t>Suco natural sem açúcar</t>
        </is>
      </c>
      <c r="O30" t="inlineStr">
        <is>
          <t>Refrigerante zero</t>
        </is>
      </c>
    </row>
    <row r="31">
      <c r="A31" t="inlineStr">
        <is>
          <t>Cream cheese light</t>
        </is>
      </c>
      <c r="B31" t="inlineStr">
        <is>
          <t>Laticínios</t>
        </is>
      </c>
      <c r="C31" t="inlineStr">
        <is>
          <t>Moderar</t>
        </is>
      </c>
      <c r="D31" t="inlineStr">
        <is>
          <t>1 colher de sopa (30 g)</t>
        </is>
      </c>
      <c r="E31" t="inlineStr">
        <is>
          <t>2x/semana</t>
        </is>
      </c>
      <c r="F31" t="inlineStr">
        <is>
          <t>Rótulo real (30 g): 63 kcal, 3,5 g de gordura saturada e 0,1 g de gordura trans (mesmo sendo 'light', é bastante gordura saturada para uma porção — quase 30% do limite diário recomendado num plano de 2000 kcal), 115 mg de sódio, 1,1 g de açúcar (sem açúcar adicionado). Ingredientes: leite integral, creme de leite, leite em pó desnatado, sal, fermento lático, espessantes (goma jataí, carragena), conservador sorbato de potássio (não é o mesmo que sal light/cloreto de potássio — sem interação com o Enalapril). Sugestão gerada por IA — confirmar com nutricionista/cardiologista.</t>
        </is>
      </c>
      <c r="G31" t="inlineStr">
        <is>
          <t>X</t>
        </is>
      </c>
      <c r="H31" t="inlineStr"/>
      <c r="I31" t="inlineStr">
        <is>
          <t>X</t>
        </is>
      </c>
      <c r="J31" t="inlineStr"/>
      <c r="L31" t="inlineStr">
        <is>
          <t>Manteiga</t>
        </is>
      </c>
      <c r="M31" t="inlineStr">
        <is>
          <t>Sal</t>
        </is>
      </c>
      <c r="N31" t="inlineStr">
        <is>
          <t>Chocolate amargo (70%+)</t>
        </is>
      </c>
      <c r="O31" t="inlineStr">
        <is>
          <t>Sal</t>
        </is>
      </c>
    </row>
    <row r="32">
      <c r="A32" t="inlineStr">
        <is>
          <t>Água</t>
        </is>
      </c>
      <c r="B32" t="inlineStr">
        <is>
          <t>Bebidas</t>
        </is>
      </c>
      <c r="C32" t="inlineStr">
        <is>
          <t>Liberado</t>
        </is>
      </c>
      <c r="D32" t="inlineStr">
        <is>
          <t>à vontade</t>
        </is>
      </c>
      <c r="E32" t="inlineStr">
        <is>
          <t>todos os dias</t>
        </is>
      </c>
      <c r="F32" t="inlineStr"/>
      <c r="G32" t="inlineStr">
        <is>
          <t>X</t>
        </is>
      </c>
      <c r="H32" t="inlineStr">
        <is>
          <t>X</t>
        </is>
      </c>
      <c r="I32" t="inlineStr">
        <is>
          <t>X</t>
        </is>
      </c>
      <c r="J32" t="inlineStr">
        <is>
          <t>X</t>
        </is>
      </c>
      <c r="M32" t="inlineStr">
        <is>
          <t>Bebida alcoólica</t>
        </is>
      </c>
      <c r="N32" t="inlineStr">
        <is>
          <t>Toranja / grapefruit</t>
        </is>
      </c>
      <c r="O32" t="inlineStr">
        <is>
          <t>Bebida alcoólica</t>
        </is>
      </c>
    </row>
    <row r="33">
      <c r="A33" t="inlineStr">
        <is>
          <t>Refrigerante zero</t>
        </is>
      </c>
      <c r="B33" t="inlineStr">
        <is>
          <t>Bebidas</t>
        </is>
      </c>
      <c r="C33" t="inlineStr">
        <is>
          <t>Moderar</t>
        </is>
      </c>
      <c r="D33" t="inlineStr">
        <is>
          <t>200 ml</t>
        </is>
      </c>
      <c r="E33" t="inlineStr">
        <is>
          <t>1x/dia</t>
        </is>
      </c>
      <c r="F33" t="inlineStr">
        <is>
          <t>Sugestão gerada por IA — confirmar com nutricionista/cardiologista</t>
        </is>
      </c>
      <c r="G33" t="inlineStr"/>
      <c r="H33" t="inlineStr">
        <is>
          <t>X</t>
        </is>
      </c>
      <c r="I33" t="inlineStr">
        <is>
          <t>X</t>
        </is>
      </c>
      <c r="J33" t="inlineStr">
        <is>
          <t>X</t>
        </is>
      </c>
      <c r="M33" t="inlineStr">
        <is>
          <t>Açúcar refinado</t>
        </is>
      </c>
      <c r="N33" t="inlineStr">
        <is>
          <t>Suco de toranja / grapefruit</t>
        </is>
      </c>
      <c r="O33" t="inlineStr">
        <is>
          <t>Açúcar refinado</t>
        </is>
      </c>
    </row>
    <row r="34">
      <c r="A34" t="inlineStr">
        <is>
          <t>Café sem açúcar</t>
        </is>
      </c>
      <c r="B34" t="inlineStr">
        <is>
          <t>Bebidas</t>
        </is>
      </c>
      <c r="C34" t="inlineStr">
        <is>
          <t>Liberado</t>
        </is>
      </c>
      <c r="D34" t="inlineStr">
        <is>
          <t>1 xícara</t>
        </is>
      </c>
      <c r="E34" t="inlineStr">
        <is>
          <t>2x/dia</t>
        </is>
      </c>
      <c r="F34" t="inlineStr"/>
      <c r="G34" t="inlineStr">
        <is>
          <t>X</t>
        </is>
      </c>
      <c r="H34" t="inlineStr"/>
      <c r="I34" t="inlineStr">
        <is>
          <t>X</t>
        </is>
      </c>
      <c r="J34" t="inlineStr"/>
      <c r="M34" t="inlineStr">
        <is>
          <t>Sal light / substituto de sal (cloreto de potássio)</t>
        </is>
      </c>
      <c r="N34" t="inlineStr">
        <is>
          <t>Açúcar refinado</t>
        </is>
      </c>
      <c r="O34" t="inlineStr">
        <is>
          <t>Sal light / substituto de sal (cloreto de potássio)</t>
        </is>
      </c>
    </row>
    <row r="35">
      <c r="A35" t="inlineStr">
        <is>
          <t>Suco natural sem açúcar</t>
        </is>
      </c>
      <c r="B35" t="inlineStr">
        <is>
          <t>Bebidas</t>
        </is>
      </c>
      <c r="C35" t="inlineStr">
        <is>
          <t>Moderar</t>
        </is>
      </c>
      <c r="D35" t="inlineStr">
        <is>
          <t>200 ml</t>
        </is>
      </c>
      <c r="E35" t="inlineStr">
        <is>
          <t>3x/semana</t>
        </is>
      </c>
      <c r="F35" t="inlineStr">
        <is>
          <t>Preferir a fruta inteira, que tem mais fibra</t>
        </is>
      </c>
      <c r="G35" t="inlineStr">
        <is>
          <t>X</t>
        </is>
      </c>
      <c r="H35" t="inlineStr"/>
      <c r="I35" t="inlineStr">
        <is>
          <t>X</t>
        </is>
      </c>
      <c r="J35" t="inlineStr"/>
      <c r="N35" t="inlineStr">
        <is>
          <t>Doces industrializados</t>
        </is>
      </c>
    </row>
    <row r="36">
      <c r="A36" t="inlineStr">
        <is>
          <t>Suco de toranja / grapefruit</t>
        </is>
      </c>
      <c r="B36" t="inlineStr">
        <is>
          <t>Bebidas</t>
        </is>
      </c>
      <c r="C36" t="inlineStr">
        <is>
          <t>Evitar</t>
        </is>
      </c>
      <c r="D36" t="inlineStr">
        <is>
          <t>-</t>
        </is>
      </c>
      <c r="E36" t="inlineStr">
        <is>
          <t>evitar</t>
        </is>
      </c>
      <c r="F36"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36" t="inlineStr">
        <is>
          <t>X</t>
        </is>
      </c>
      <c r="H36" t="inlineStr"/>
      <c r="I36" t="inlineStr">
        <is>
          <t>X</t>
        </is>
      </c>
      <c r="J36" t="inlineStr"/>
    </row>
    <row r="37">
      <c r="A37" t="inlineStr">
        <is>
          <t>Bebida alcoólica</t>
        </is>
      </c>
      <c r="B37" t="inlineStr">
        <is>
          <t>Bebidas</t>
        </is>
      </c>
      <c r="C37" t="inlineStr">
        <is>
          <t>Evitar</t>
        </is>
      </c>
      <c r="D37" t="inlineStr">
        <is>
          <t>-</t>
        </is>
      </c>
      <c r="E37" t="inlineStr">
        <is>
          <t>evitar</t>
        </is>
      </c>
      <c r="F37" t="inlineStr">
        <is>
          <t>Piora diretamente os triglicerídeos; soma-se ao risco de sangramento da Aspirina + Ticagrelor.</t>
        </is>
      </c>
      <c r="G37" t="inlineStr"/>
      <c r="H37" t="inlineStr">
        <is>
          <t>X</t>
        </is>
      </c>
      <c r="I37" t="inlineStr"/>
      <c r="J37" t="inlineStr">
        <is>
          <t>X</t>
        </is>
      </c>
    </row>
    <row r="38">
      <c r="A38" t="inlineStr">
        <is>
          <t>Açúcar refinado</t>
        </is>
      </c>
      <c r="B38" t="inlineStr">
        <is>
          <t>Doces e Sobremesas</t>
        </is>
      </c>
      <c r="C38" t="inlineStr">
        <is>
          <t>Evitar</t>
        </is>
      </c>
      <c r="D38" t="inlineStr">
        <is>
          <t>-</t>
        </is>
      </c>
      <c r="E38" t="inlineStr">
        <is>
          <t>evitar</t>
        </is>
      </c>
      <c r="F38" t="inlineStr">
        <is>
          <t>Impacto direto nos triglicerídeos</t>
        </is>
      </c>
      <c r="G38" t="inlineStr">
        <is>
          <t>X</t>
        </is>
      </c>
      <c r="H38" t="inlineStr">
        <is>
          <t>X</t>
        </is>
      </c>
      <c r="I38" t="inlineStr">
        <is>
          <t>X</t>
        </is>
      </c>
      <c r="J38" t="inlineStr">
        <is>
          <t>X</t>
        </is>
      </c>
    </row>
    <row r="39">
      <c r="A39" t="inlineStr">
        <is>
          <t>Doces industrializados</t>
        </is>
      </c>
      <c r="B39" t="inlineStr">
        <is>
          <t>Doces e Sobremesas</t>
        </is>
      </c>
      <c r="C39" t="inlineStr">
        <is>
          <t>Evitar</t>
        </is>
      </c>
      <c r="D39" t="inlineStr">
        <is>
          <t>-</t>
        </is>
      </c>
      <c r="E39" t="inlineStr">
        <is>
          <t>evitar</t>
        </is>
      </c>
      <c r="F39" t="inlineStr"/>
      <c r="G39" t="inlineStr"/>
      <c r="H39" t="inlineStr"/>
      <c r="I39" t="inlineStr">
        <is>
          <t>X</t>
        </is>
      </c>
      <c r="J39" t="inlineStr"/>
    </row>
    <row r="40">
      <c r="A40" t="inlineStr">
        <is>
          <t>Chocolate amargo (70%+)</t>
        </is>
      </c>
      <c r="B40" t="inlineStr">
        <is>
          <t>Doces e Sobremesas</t>
        </is>
      </c>
      <c r="C40" t="inlineStr">
        <is>
          <t>Moderar</t>
        </is>
      </c>
      <c r="D40" t="inlineStr">
        <is>
          <t>10 g</t>
        </is>
      </c>
      <c r="E40" t="inlineStr">
        <is>
          <t>2x/semana</t>
        </is>
      </c>
      <c r="F40" t="inlineStr">
        <is>
          <t>Sugestão gerada por IA — confirmar com nutricionista/cardiologista</t>
        </is>
      </c>
      <c r="G40" t="inlineStr"/>
      <c r="H40" t="inlineStr"/>
      <c r="I40" t="inlineStr">
        <is>
          <t>X</t>
        </is>
      </c>
      <c r="J40" t="inlineStr"/>
    </row>
    <row r="41">
      <c r="A41" t="inlineStr">
        <is>
          <t>Azeite de oliva extra virgem</t>
        </is>
      </c>
      <c r="B41" t="inlineStr">
        <is>
          <t>Gorduras e Temperos</t>
        </is>
      </c>
      <c r="C41" t="inlineStr">
        <is>
          <t>Liberado</t>
        </is>
      </c>
      <c r="D41" t="inlineStr">
        <is>
          <t>1-2 colheres de sopa</t>
        </is>
      </c>
      <c r="E41" t="inlineStr">
        <is>
          <t>1x/dia</t>
        </is>
      </c>
      <c r="F41" t="inlineStr"/>
      <c r="G41" t="inlineStr"/>
      <c r="H41" t="inlineStr">
        <is>
          <t>X</t>
        </is>
      </c>
      <c r="I41" t="inlineStr"/>
      <c r="J41" t="inlineStr">
        <is>
          <t>X</t>
        </is>
      </c>
    </row>
    <row r="42">
      <c r="A42" t="inlineStr">
        <is>
          <t>Manteiga</t>
        </is>
      </c>
      <c r="B42" t="inlineStr">
        <is>
          <t>Gorduras e Temperos</t>
        </is>
      </c>
      <c r="C42" t="inlineStr">
        <is>
          <t>Evitar</t>
        </is>
      </c>
      <c r="D42" t="inlineStr">
        <is>
          <t>-</t>
        </is>
      </c>
      <c r="E42" t="inlineStr">
        <is>
          <t>evitar</t>
        </is>
      </c>
      <c r="F42" t="inlineStr">
        <is>
          <t>Preferir azeite</t>
        </is>
      </c>
      <c r="G42" t="inlineStr">
        <is>
          <t>X</t>
        </is>
      </c>
      <c r="H42" t="inlineStr"/>
      <c r="I42" t="inlineStr"/>
      <c r="J42" t="inlineStr"/>
    </row>
    <row r="43">
      <c r="A43" t="inlineStr">
        <is>
          <t>Sal</t>
        </is>
      </c>
      <c r="B43" t="inlineStr">
        <is>
          <t>Gorduras e Temperos</t>
        </is>
      </c>
      <c r="C43" t="inlineStr">
        <is>
          <t>Moderar</t>
        </is>
      </c>
      <c r="D43" t="inlineStr">
        <is>
          <t>&lt; 5 g no total</t>
        </is>
      </c>
      <c r="E43" t="inlineStr">
        <is>
          <t>todos os dias</t>
        </is>
      </c>
      <c r="F43" t="inlineStr">
        <is>
          <t>Somar sal de cozinha + industrializados</t>
        </is>
      </c>
      <c r="G43" t="inlineStr"/>
      <c r="H43" t="inlineStr">
        <is>
          <t>X</t>
        </is>
      </c>
      <c r="I43" t="inlineStr"/>
      <c r="J43" t="inlineStr">
        <is>
          <t>X</t>
        </is>
      </c>
    </row>
    <row r="44">
      <c r="A44" t="inlineStr">
        <is>
          <t>Creme de tahine</t>
        </is>
      </c>
      <c r="B44" t="inlineStr">
        <is>
          <t>Gorduras e Temperos</t>
        </is>
      </c>
      <c r="C44" t="inlineStr">
        <is>
          <t>Liberado</t>
        </is>
      </c>
      <c r="D44" t="inlineStr">
        <is>
          <t>1-2 colheres de sopa (receita: 4 col. sopa de tahine, 1 col. sopa de limão, 1 col. sopa de azeite, sal e água)</t>
        </is>
      </c>
      <c r="E44" t="inlineStr">
        <is>
          <t>3x/semana</t>
        </is>
      </c>
      <c r="F44" t="inlineStr">
        <is>
          <t>Pasta de gergelim (tahine) + azeite: gorduras majoritariamente insaturadas, sem açúcar, boa fonte de cálcio/fibra — combina com o padrão de dieta mediterrânea recomendado. É calórico (rico em gordura), por isso porção moderada; controlar a quantidade de sal adicionado na receita. Sugestão gerada por IA — confirmar com nutricionista/cardiologista.</t>
        </is>
      </c>
      <c r="G44" t="inlineStr">
        <is>
          <t>X</t>
        </is>
      </c>
      <c r="H44" t="inlineStr">
        <is>
          <t>X</t>
        </is>
      </c>
      <c r="I44" t="inlineStr">
        <is>
          <t>X</t>
        </is>
      </c>
      <c r="J44" t="inlineStr">
        <is>
          <t>X</t>
        </is>
      </c>
    </row>
    <row r="45">
      <c r="A45" t="inlineStr">
        <is>
          <t>Sal light / substituto de sal (cloreto de potássio)</t>
        </is>
      </c>
      <c r="B45" t="inlineStr">
        <is>
          <t>Gorduras e Temperos</t>
        </is>
      </c>
      <c r="C45" t="inlineStr">
        <is>
          <t>Evitar</t>
        </is>
      </c>
      <c r="D45" t="inlineStr">
        <is>
          <t>-</t>
        </is>
      </c>
      <c r="E45" t="inlineStr">
        <is>
          <t>evitar</t>
        </is>
      </c>
      <c r="F45" t="inlineStr">
        <is>
          <t>Enalapril já tende a elevar o potássio; combinado com esse produto o risco de hipercalemia aumenta, ainda mais com a função renal pendente.</t>
        </is>
      </c>
      <c r="G45" t="inlineStr"/>
      <c r="H45" t="inlineStr">
        <is>
          <t>X</t>
        </is>
      </c>
      <c r="I45" t="inlineStr"/>
      <c r="J45" t="inlineStr">
        <is>
          <t>X</t>
        </is>
      </c>
    </row>
    <row r="46">
      <c r="A46" t="inlineStr">
        <is>
          <t>Ervas e temperos naturais</t>
        </is>
      </c>
      <c r="B46" t="inlineStr">
        <is>
          <t>Gorduras e Temperos</t>
        </is>
      </c>
      <c r="C46" t="inlineStr">
        <is>
          <t>Liberado</t>
        </is>
      </c>
      <c r="D46" t="inlineStr">
        <is>
          <t>à vontade</t>
        </is>
      </c>
      <c r="E46" t="inlineStr">
        <is>
          <t>todos os dias</t>
        </is>
      </c>
      <c r="F46" t="inlineStr"/>
      <c r="G46" t="inlineStr"/>
      <c r="H46" t="inlineStr">
        <is>
          <t>X</t>
        </is>
      </c>
      <c r="I46" t="inlineStr"/>
      <c r="J46" t="inlineStr">
        <is>
          <t>X</t>
        </is>
      </c>
    </row>
    <row r="47">
      <c r="A47" t="inlineStr">
        <is>
          <t>Vegetais e verduras em geral</t>
        </is>
      </c>
      <c r="B47" t="inlineStr">
        <is>
          <t>Vegetais e Verduras</t>
        </is>
      </c>
      <c r="C47" t="inlineStr">
        <is>
          <t>Liberado</t>
        </is>
      </c>
      <c r="D47" t="inlineStr">
        <is>
          <t>à vontade</t>
        </is>
      </c>
      <c r="E47" t="inlineStr">
        <is>
          <t>todos os dias</t>
        </is>
      </c>
      <c r="F47" t="inlineStr">
        <is>
          <t>Se entrar anticoagulante na medicação, revisar consumo de verde-escuros ricos em vitamina K</t>
        </is>
      </c>
      <c r="G47" t="inlineStr">
        <is>
          <t>X</t>
        </is>
      </c>
      <c r="H47" t="inlineStr">
        <is>
          <t>X</t>
        </is>
      </c>
      <c r="I47" t="inlineStr">
        <is>
          <t>X</t>
        </is>
      </c>
      <c r="J47" t="inlineStr">
        <is>
          <t>X</t>
        </is>
      </c>
    </row>
    <row r="48">
      <c r="A48" t="inlineStr">
        <is>
          <t>Brócolis</t>
        </is>
      </c>
      <c r="B48" t="inlineStr">
        <is>
          <t>Vegetais e Verduras</t>
        </is>
      </c>
      <c r="C48" t="inlineStr">
        <is>
          <t>Liberado</t>
        </is>
      </c>
      <c r="D48" t="inlineStr">
        <is>
          <t>à vontade</t>
        </is>
      </c>
      <c r="E48" t="inlineStr">
        <is>
          <t>todos os dias</t>
        </is>
      </c>
      <c r="F48" t="inlineStr">
        <is>
          <t>Rico em fibras; combina bem com o padrão de dieta cardioprotetora recomendado.</t>
        </is>
      </c>
      <c r="G48" t="inlineStr"/>
      <c r="H48" t="inlineStr">
        <is>
          <t>X</t>
        </is>
      </c>
      <c r="I48" t="inlineStr"/>
      <c r="J48" t="inlineStr">
        <is>
          <t>X</t>
        </is>
      </c>
    </row>
    <row r="49">
      <c r="A49" t="inlineStr">
        <is>
          <t>Couve</t>
        </is>
      </c>
      <c r="B49" t="inlineStr">
        <is>
          <t>Vegetais e Verduras</t>
        </is>
      </c>
      <c r="C49" t="inlineStr">
        <is>
          <t>Liberado</t>
        </is>
      </c>
      <c r="D49" t="inlineStr">
        <is>
          <t>à vontade</t>
        </is>
      </c>
      <c r="E49" t="inlineStr">
        <is>
          <t>todos os dias</t>
        </is>
      </c>
      <c r="F49" t="inlineStr">
        <is>
          <t>Folha verde-escura rica em vitamina K — sem impacto hoje (nenhum anticoagulante em uso), mas vale reavaliar se isso mudar no tratamento.</t>
        </is>
      </c>
      <c r="G49" t="inlineStr"/>
      <c r="H49" t="inlineStr">
        <is>
          <t>X</t>
        </is>
      </c>
      <c r="I49" t="inlineStr"/>
      <c r="J49" t="inlineStr">
        <is>
          <t>X</t>
        </is>
      </c>
    </row>
    <row r="50">
      <c r="A50" t="inlineStr">
        <is>
          <t>Espinafre</t>
        </is>
      </c>
      <c r="B50" t="inlineStr">
        <is>
          <t>Vegetais e Verduras</t>
        </is>
      </c>
      <c r="C50" t="inlineStr">
        <is>
          <t>Liberado</t>
        </is>
      </c>
      <c r="D50" t="inlineStr">
        <is>
          <t>à vontade</t>
        </is>
      </c>
      <c r="E50" t="inlineStr">
        <is>
          <t>todos os dias</t>
        </is>
      </c>
      <c r="F50" t="inlineStr">
        <is>
          <t>Folha verde-escura rica em vitamina K — sem impacto hoje (nenhum anticoagulante em uso), mas vale reavaliar se isso mudar no tratamento.</t>
        </is>
      </c>
      <c r="G50" t="inlineStr"/>
      <c r="H50" t="inlineStr">
        <is>
          <t>X</t>
        </is>
      </c>
      <c r="I50" t="inlineStr"/>
      <c r="J50" t="inlineStr">
        <is>
          <t>X</t>
        </is>
      </c>
    </row>
    <row r="51">
      <c r="A51" t="inlineStr">
        <is>
          <t>Tomate</t>
        </is>
      </c>
      <c r="B51" t="inlineStr">
        <is>
          <t>Vegetais e Verduras</t>
        </is>
      </c>
      <c r="C51" t="inlineStr">
        <is>
          <t>Liberado</t>
        </is>
      </c>
      <c r="D51" t="inlineStr">
        <is>
          <t>à vontade</t>
        </is>
      </c>
      <c r="E51" t="inlineStr">
        <is>
          <t>todos os dias</t>
        </is>
      </c>
      <c r="F51" t="inlineStr"/>
      <c r="G51" t="inlineStr">
        <is>
          <t>X</t>
        </is>
      </c>
      <c r="H51" t="inlineStr">
        <is>
          <t>X</t>
        </is>
      </c>
      <c r="I51" t="inlineStr">
        <is>
          <t>X</t>
        </is>
      </c>
      <c r="J51" t="inlineStr">
        <is>
          <t>X</t>
        </is>
      </c>
    </row>
    <row r="52">
      <c r="A52" t="inlineStr">
        <is>
          <t>Cenoura</t>
        </is>
      </c>
      <c r="B52" t="inlineStr">
        <is>
          <t>Vegetais e Verduras</t>
        </is>
      </c>
      <c r="C52" t="inlineStr">
        <is>
          <t>Liberado</t>
        </is>
      </c>
      <c r="D52" t="inlineStr">
        <is>
          <t>à vontade</t>
        </is>
      </c>
      <c r="E52" t="inlineStr">
        <is>
          <t>todos os dias</t>
        </is>
      </c>
      <c r="F52" t="inlineStr"/>
      <c r="G52" t="inlineStr"/>
      <c r="H52" t="inlineStr">
        <is>
          <t>X</t>
        </is>
      </c>
      <c r="I52" t="inlineStr">
        <is>
          <t>X</t>
        </is>
      </c>
      <c r="J52" t="inlineStr">
        <is>
          <t>X</t>
        </is>
      </c>
    </row>
    <row r="53">
      <c r="A53" t="inlineStr">
        <is>
          <t>Abobrinha</t>
        </is>
      </c>
      <c r="B53" t="inlineStr">
        <is>
          <t>Vegetais e Verduras</t>
        </is>
      </c>
      <c r="C53" t="inlineStr">
        <is>
          <t>Liberado</t>
        </is>
      </c>
      <c r="D53" t="inlineStr">
        <is>
          <t>à vontade</t>
        </is>
      </c>
      <c r="E53" t="inlineStr">
        <is>
          <t>todos os dias</t>
        </is>
      </c>
      <c r="F53" t="inlineStr"/>
      <c r="G53" t="inlineStr"/>
      <c r="H53" t="inlineStr">
        <is>
          <t>X</t>
        </is>
      </c>
      <c r="I53" t="inlineStr"/>
      <c r="J53" t="inlineStr">
        <is>
          <t>X</t>
        </is>
      </c>
    </row>
    <row r="54">
      <c r="A54" t="inlineStr">
        <is>
          <t>Beterraba</t>
        </is>
      </c>
      <c r="B54" t="inlineStr">
        <is>
          <t>Vegetais e Verduras</t>
        </is>
      </c>
      <c r="C54" t="inlineStr">
        <is>
          <t>Liberado</t>
        </is>
      </c>
      <c r="D54" t="inlineStr">
        <is>
          <t>à vontade</t>
        </is>
      </c>
      <c r="E54" t="inlineStr">
        <is>
          <t>3x/semana</t>
        </is>
      </c>
      <c r="F54" t="inlineStr"/>
      <c r="G54" t="inlineStr"/>
      <c r="H54" t="inlineStr">
        <is>
          <t>X</t>
        </is>
      </c>
      <c r="I54" t="inlineStr"/>
      <c r="J54" t="inlineStr">
        <is>
          <t>X</t>
        </is>
      </c>
    </row>
    <row r="55">
      <c r="A55" t="inlineStr">
        <is>
          <t>Alface e folhas verdes (rúcula, agrião)</t>
        </is>
      </c>
      <c r="B55" t="inlineStr">
        <is>
          <t>Vegetais e Verduras</t>
        </is>
      </c>
      <c r="C55" t="inlineStr">
        <is>
          <t>Liberado</t>
        </is>
      </c>
      <c r="D55" t="inlineStr">
        <is>
          <t>à vontade</t>
        </is>
      </c>
      <c r="E55" t="inlineStr">
        <is>
          <t>todos os dias</t>
        </is>
      </c>
      <c r="F55" t="inlineStr"/>
      <c r="G55" t="inlineStr"/>
      <c r="H55" t="inlineStr">
        <is>
          <t>X</t>
        </is>
      </c>
      <c r="I55" t="inlineStr">
        <is>
          <t>X</t>
        </is>
      </c>
      <c r="J55" t="inlineStr">
        <is>
          <t>X</t>
        </is>
      </c>
    </row>
    <row r="56">
      <c r="A56" t="inlineStr">
        <is>
          <t>Pepino</t>
        </is>
      </c>
      <c r="B56" t="inlineStr">
        <is>
          <t>Vegetais e Verduras</t>
        </is>
      </c>
      <c r="C56" t="inlineStr">
        <is>
          <t>Liberado</t>
        </is>
      </c>
      <c r="D56" t="inlineStr">
        <is>
          <t>à vontade</t>
        </is>
      </c>
      <c r="E56" t="inlineStr">
        <is>
          <t>todos os dias</t>
        </is>
      </c>
      <c r="F56" t="inlineStr"/>
      <c r="G56" t="inlineStr"/>
      <c r="H56" t="inlineStr">
        <is>
          <t>X</t>
        </is>
      </c>
      <c r="I56" t="inlineStr">
        <is>
          <t>X</t>
        </is>
      </c>
      <c r="J56" t="inlineStr">
        <is>
          <t>X</t>
        </is>
      </c>
    </row>
    <row r="57">
      <c r="A57" t="inlineStr">
        <is>
          <t>Berinjela</t>
        </is>
      </c>
      <c r="B57" t="inlineStr">
        <is>
          <t>Vegetais e Verduras</t>
        </is>
      </c>
      <c r="C57" t="inlineStr">
        <is>
          <t>Liberado</t>
        </is>
      </c>
      <c r="D57" t="inlineStr">
        <is>
          <t>à vontade</t>
        </is>
      </c>
      <c r="E57" t="inlineStr">
        <is>
          <t>3x/semana</t>
        </is>
      </c>
      <c r="F57" t="inlineStr"/>
      <c r="G57" t="inlineStr"/>
      <c r="H57" t="inlineStr">
        <is>
          <t>X</t>
        </is>
      </c>
      <c r="I57" t="inlineStr"/>
      <c r="J57" t="inlineStr">
        <is>
          <t>X</t>
        </is>
      </c>
    </row>
    <row r="58">
      <c r="A58" t="inlineStr">
        <is>
          <t>Pimentão</t>
        </is>
      </c>
      <c r="B58" t="inlineStr">
        <is>
          <t>Vegetais e Verduras</t>
        </is>
      </c>
      <c r="C58" t="inlineStr">
        <is>
          <t>Liberado</t>
        </is>
      </c>
      <c r="D58" t="inlineStr">
        <is>
          <t>à vontade</t>
        </is>
      </c>
      <c r="E58" t="inlineStr">
        <is>
          <t>todos os dias</t>
        </is>
      </c>
      <c r="F58" t="inlineStr"/>
      <c r="G58" t="inlineStr"/>
      <c r="H58" t="inlineStr">
        <is>
          <t>X</t>
        </is>
      </c>
      <c r="I58" t="inlineStr">
        <is>
          <t>X</t>
        </is>
      </c>
      <c r="J58" t="inlineStr">
        <is>
          <t>X</t>
        </is>
      </c>
    </row>
    <row r="59">
      <c r="A59" t="inlineStr">
        <is>
          <t>Repolho</t>
        </is>
      </c>
      <c r="B59" t="inlineStr">
        <is>
          <t>Vegetais e Verduras</t>
        </is>
      </c>
      <c r="C59" t="inlineStr">
        <is>
          <t>Liberado</t>
        </is>
      </c>
      <c r="D59" t="inlineStr">
        <is>
          <t>à vontade</t>
        </is>
      </c>
      <c r="E59" t="inlineStr">
        <is>
          <t>todos os dias</t>
        </is>
      </c>
      <c r="F59" t="inlineStr"/>
      <c r="G59" t="inlineStr"/>
      <c r="H59" t="inlineStr">
        <is>
          <t>X</t>
        </is>
      </c>
      <c r="I59" t="inlineStr"/>
      <c r="J59"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2026-09-16T20:20:45Z</dcterms:created>
  <dcterms:modified xsi:type="dcterms:W3CDTF">2026-09-16T20:20:45Z</dcterms:modified>
</cp:coreProperties>
</file>