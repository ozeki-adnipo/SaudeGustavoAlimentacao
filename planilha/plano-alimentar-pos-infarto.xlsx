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5.5" customHeight="1">
      <c r="A1" s="1" t="inlineStr">
        <is>
          <t>Cuidados na Alimentação — pós-infarto (25/08/2026)</t>
        </is>
      </c>
    </row>
    <row r="2">
      <c r="A2" s="2" t="inlineStr">
        <is>
          <t>Seção</t>
        </is>
      </c>
      <c r="B2" s="2" t="inlineStr">
        <is>
          <t>Orientação</t>
        </is>
      </c>
    </row>
    <row r="3" ht="3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30" customHeight="1">
      <c r="A4" s="3" t="inlineStr">
        <is>
          <t>Reduzir</t>
        </is>
      </c>
      <c r="B4" s="4" t="inlineStr">
        <is>
          <t>Gordura saturada e gordura trans (frituras, embutidos, carnes gordas, manteiga, produtos industrializados com 'gordura vegetal hidrogenada').</t>
        </is>
      </c>
    </row>
    <row r="5" ht="30" customHeight="1">
      <c r="A5" s="3" t="inlineStr">
        <is>
          <t>Reduzir</t>
        </is>
      </c>
      <c r="B5" s="4" t="inlineStr">
        <is>
          <t>Açúcar e carboidrato refinado — prioridade alta por causa dos triglicerídeos muito altos (343 mg/dL): refrigerante comum, doces, pão/arroz/massa branca em excesso.</t>
        </is>
      </c>
    </row>
    <row r="6" ht="30" customHeight="1">
      <c r="A6" s="3" t="inlineStr">
        <is>
          <t>Reduzir</t>
        </is>
      </c>
      <c r="B6" s="4" t="inlineStr">
        <is>
          <t>Sódio — evitar sal em excesso, temperos prontos, embutidos, enlatados e fast-food; ler rótulo (mg de sódio por porção).</t>
        </is>
      </c>
    </row>
    <row r="7" ht="30" customHeight="1">
      <c r="A7" s="3" t="inlineStr">
        <is>
          <t>Reduzir</t>
        </is>
      </c>
      <c r="B7" s="4" t="inlineStr">
        <is>
          <t>Álcool — evitar ou reduzir ao mínimo; álcool piora diretamente os triglicerídeos.</t>
        </is>
      </c>
    </row>
    <row r="8" ht="30" customHeight="1">
      <c r="A8" s="3" t="inlineStr">
        <is>
          <t>Priorizar</t>
        </is>
      </c>
      <c r="B8" s="4" t="inlineStr">
        <is>
          <t>Fibras: grãos integrais, leguminosas (feijão, lentilha, grão-de-bico), vegetais e frutas variadas.</t>
        </is>
      </c>
    </row>
    <row r="9" ht="30" customHeight="1">
      <c r="A9" s="3" t="inlineStr">
        <is>
          <t>Priorizar</t>
        </is>
      </c>
      <c r="B9" s="4" t="inlineStr">
        <is>
          <t>Ômega-3: peixes (preferir 2-3x/semana), azeite de oliva extra virgem, oleaginosas em pequena quantidade (castanhas, nozes).</t>
        </is>
      </c>
    </row>
    <row r="10" ht="30" customHeight="1">
      <c r="A10" s="3" t="inlineStr">
        <is>
          <t>Priorizar</t>
        </is>
      </c>
      <c r="B10" s="4" t="inlineStr">
        <is>
          <t>Proteínas magras: frango sem pele, peixe, ovos, leguminosas; carnes vermelhas com moderação.</t>
        </is>
      </c>
    </row>
    <row r="11" ht="3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63.75"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78"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49.5"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63.75"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63.75"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3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49.5"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49.5"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3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5.5" customHeight="1">
      <c r="A1" s="1" t="inlineStr">
        <is>
          <t>Plano Geral — o que comer, inclusive fora de casa</t>
        </is>
      </c>
    </row>
    <row r="2">
      <c r="A2" s="2" t="inlineStr">
        <is>
          <t>Seção</t>
        </is>
      </c>
      <c r="B2" s="2" t="inlineStr">
        <is>
          <t>Conteúdo</t>
        </is>
      </c>
    </row>
    <row r="3" ht="36"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36"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36"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36"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36"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36"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9"/>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2" customWidth="1" min="8" max="8"/>
  </cols>
  <sheetData>
    <row r="1" ht="25.5" customHeight="1">
      <c r="A1" s="1" t="inlineStr">
        <is>
          <t>Alimentos e Quantidades — lista de referência</t>
        </is>
      </c>
    </row>
    <row r="2" ht="19.5"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19.5" customHeight="1">
      <c r="A4" s="10" t="inlineStr">
        <is>
          <t>Frutas</t>
        </is>
      </c>
      <c r="B4" s="11" t="n"/>
      <c r="C4" s="11" t="n"/>
      <c r="D4" s="11" t="n"/>
      <c r="E4" s="11" t="n"/>
      <c r="F4" s="11" t="n"/>
      <c r="G4" s="11" t="n"/>
      <c r="H4" s="11" t="n"/>
    </row>
    <row r="5" ht="49.5" customHeight="1">
      <c r="B5" s="12" t="inlineStr">
        <is>
          <t>Maçã fuji (com casca)</t>
        </is>
      </c>
      <c r="C5" s="13" t="inlineStr"/>
      <c r="D5" s="13" t="inlineStr">
        <is>
          <t>1 unidade</t>
        </is>
      </c>
      <c r="E5" s="13" t="inlineStr">
        <is>
          <t>1x/dia</t>
        </is>
      </c>
      <c r="F5" s="14" t="inlineStr">
        <is>
          <t>Liberado</t>
        </is>
      </c>
      <c r="G5" s="13" t="inlineStr"/>
      <c r="H5" s="12" t="inlineStr">
        <is>
          <t>Vale para maçã em geral, com casca (mais fibra) — Fuji é só um pouco mais doce que outras variedades, sem diferença relevante para o quadro do paciente.</t>
        </is>
      </c>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6" t="inlineStr">
        <is>
          <t>Bom</t>
        </is>
      </c>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63.75" customHeight="1">
      <c r="B10" s="12" t="inlineStr">
        <is>
          <t>Toranja / grapefruit</t>
        </is>
      </c>
      <c r="C10" s="13" t="inlineStr"/>
      <c r="D10" s="13" t="inlineStr">
        <is>
          <t>-</t>
        </is>
      </c>
      <c r="E10" s="13" t="inlineStr">
        <is>
          <t>evitar</t>
        </is>
      </c>
      <c r="F10" s="17"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19.5"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49.5" customHeight="1">
      <c r="B14" s="12" t="inlineStr">
        <is>
          <t>Aveia integral em flocos</t>
        </is>
      </c>
      <c r="C14" s="13" t="inlineStr">
        <is>
          <t>Quaker</t>
        </is>
      </c>
      <c r="D14" s="13" t="inlineStr">
        <is>
          <t>2 colheres de sopa (~30 g)</t>
        </is>
      </c>
      <c r="E14" s="13" t="inlineStr">
        <is>
          <t>1x/dia</t>
        </is>
      </c>
      <c r="F14" s="14" t="inlineStr">
        <is>
          <t>Liberado</t>
        </is>
      </c>
      <c r="G14" s="13" t="inlineStr"/>
      <c r="H14" s="12" t="inlineStr">
        <is>
          <t>Rótulo real: 110 kcal, 2,8 g de fibra (1,2 g de beta-glucana — a fibra solúvel que ajuda a reduzir o colesterol), sem açúcar adicionado, 0 mg de sódio.</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63.75"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200.25" customHeight="1">
      <c r="B17" s="12" t="inlineStr">
        <is>
          <t>Granola zero açúcar</t>
        </is>
      </c>
      <c r="C17" s="13" t="inlineStr">
        <is>
          <t>Castanha do Bem</t>
        </is>
      </c>
      <c r="D17" s="13" t="inlineStr">
        <is>
          <t>20 g (1 colher de sopa)</t>
        </is>
      </c>
      <c r="E17" s="13" t="inlineStr">
        <is>
          <t>1x/dia</t>
        </is>
      </c>
      <c r="F17" s="14" t="inlineStr">
        <is>
          <t>Liberado</t>
        </is>
      </c>
      <c r="G17" s="13" t="inlineStr"/>
      <c r="H17" s="12"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row>
    <row r="18" ht="19.5" customHeight="1">
      <c r="A18" s="10" t="inlineStr">
        <is>
          <t>Proteínas</t>
        </is>
      </c>
      <c r="B18" s="11" t="n"/>
      <c r="C18" s="11" t="n"/>
      <c r="D18" s="11" t="n"/>
      <c r="E18" s="11" t="n"/>
      <c r="F18" s="11" t="n"/>
      <c r="G18" s="11" t="n"/>
      <c r="H18" s="11" t="n"/>
    </row>
    <row r="19" ht="30" customHeight="1">
      <c r="B19" s="12" t="inlineStr">
        <is>
          <t>Peixe</t>
        </is>
      </c>
      <c r="C19" s="13" t="inlineStr"/>
      <c r="D19" s="13" t="inlineStr">
        <is>
          <t>150 g</t>
        </is>
      </c>
      <c r="E19" s="13" t="inlineStr">
        <is>
          <t>3x/semana</t>
        </is>
      </c>
      <c r="F19" s="14" t="inlineStr">
        <is>
          <t>Liberado</t>
        </is>
      </c>
      <c r="G19" s="13" t="inlineStr"/>
      <c r="H19" s="12" t="inlineStr">
        <is>
          <t>Fonte de ômega-3</t>
        </is>
      </c>
    </row>
    <row r="20" ht="64" customHeight="1">
      <c r="B20" s="12" t="inlineStr">
        <is>
          <t>Sashimi de salmão</t>
        </is>
      </c>
      <c r="C20" s="13" t="inlineStr"/>
      <c r="D20" s="13" t="inlineStr">
        <is>
          <t>150 g (6-8 fatias)</t>
        </is>
      </c>
      <c r="E20" s="13" t="inlineStr">
        <is>
          <t>1-2x/semana</t>
        </is>
      </c>
      <c r="F20" s="14" t="inlineStr">
        <is>
          <t>Liberado</t>
        </is>
      </c>
      <c r="G20" s="13" t="inlineStr"/>
      <c r="H20" s="12" t="inlineStr">
        <is>
          <t>Peixe cru, sem arroz — mesma fonte de ômega-3 do peixe grelhado, conta na mesma cota semanal de peixe. Cuidado é só com o shoyu (molho de soja) do acompanhamento, rico em sódio: usar pouco. Sugestão gerada por IA — confirmar com nutricionista/cardiologista.</t>
        </is>
      </c>
    </row>
    <row r="21" ht="78" customHeight="1">
      <c r="B21" s="12" t="inlineStr">
        <is>
          <t>Sushi de salmão</t>
        </is>
      </c>
      <c r="C21" s="13" t="inlineStr"/>
      <c r="D21" s="13" t="inlineStr">
        <is>
          <t>8-10 peças (nigiri/hossomaki)</t>
        </is>
      </c>
      <c r="E21" s="13" t="inlineStr">
        <is>
          <t>1x/semana</t>
        </is>
      </c>
      <c r="F21" s="15" t="inlineStr">
        <is>
          <t>Moderar</t>
        </is>
      </c>
      <c r="G21" s="13" t="inlineStr"/>
      <c r="H21" s="12" t="inlineStr">
        <is>
          <t>Além do peixe, leva arroz temperado com açúcar/vinagre — mais carboidrato e um pouco de açúcar adicionado que o sashimi puro. Evitar versões com tempurá, cream cheese ou molhos cremosos/apimentados (mais gordura, sódio e calorias); usar pouco shoyu (sódio). Sugestão gerada por IA — confirmar com nutricionista/cardiologista.</t>
        </is>
      </c>
    </row>
    <row r="22" ht="30" customHeight="1">
      <c r="B22" s="12" t="inlineStr">
        <is>
          <t>Frango sem pele</t>
        </is>
      </c>
      <c r="C22" s="13" t="inlineStr"/>
      <c r="D22" s="13" t="inlineStr">
        <is>
          <t>150 g</t>
        </is>
      </c>
      <c r="E22" s="13" t="inlineStr">
        <is>
          <t>quase todo dia</t>
        </is>
      </c>
      <c r="F22" s="14" t="inlineStr">
        <is>
          <t>Liberado</t>
        </is>
      </c>
      <c r="G22" s="13" t="inlineStr"/>
      <c r="H22" s="12" t="inlineStr"/>
    </row>
    <row r="23" ht="30" customHeight="1">
      <c r="B23" s="12" t="inlineStr">
        <is>
          <t>Carne vermelha magra</t>
        </is>
      </c>
      <c r="C23" s="13" t="inlineStr"/>
      <c r="D23" s="13" t="inlineStr">
        <is>
          <t>150 g</t>
        </is>
      </c>
      <c r="E23" s="13" t="inlineStr">
        <is>
          <t>1x/semana</t>
        </is>
      </c>
      <c r="F23" s="15" t="inlineStr">
        <is>
          <t>Moderar</t>
        </is>
      </c>
      <c r="G23" s="13" t="inlineStr"/>
      <c r="H23" s="12" t="inlineStr">
        <is>
          <t>Preferir cortes magros</t>
        </is>
      </c>
    </row>
    <row r="24" ht="30" customHeight="1">
      <c r="B24" s="12" t="inlineStr">
        <is>
          <t>Ovo</t>
        </is>
      </c>
      <c r="C24" s="13" t="inlineStr"/>
      <c r="D24" s="13" t="inlineStr">
        <is>
          <t>1 unidade</t>
        </is>
      </c>
      <c r="E24" s="13" t="inlineStr">
        <is>
          <t>até 5x/semana</t>
        </is>
      </c>
      <c r="F24" s="14" t="inlineStr">
        <is>
          <t>Liberado</t>
        </is>
      </c>
      <c r="G24" s="13" t="inlineStr"/>
      <c r="H24" s="12" t="inlineStr"/>
    </row>
    <row r="25" ht="30" customHeight="1">
      <c r="B25" s="12" t="inlineStr">
        <is>
          <t>Feijão / leguminosas</t>
        </is>
      </c>
      <c r="C25" s="13" t="inlineStr"/>
      <c r="D25" s="13" t="inlineStr">
        <is>
          <t>1 concha</t>
        </is>
      </c>
      <c r="E25" s="13" t="inlineStr">
        <is>
          <t>1x/dia</t>
        </is>
      </c>
      <c r="F25" s="14" t="inlineStr">
        <is>
          <t>Liberado</t>
        </is>
      </c>
      <c r="G25" s="13" t="inlineStr"/>
      <c r="H25" s="12" t="inlineStr"/>
    </row>
    <row r="26" ht="106" customHeight="1">
      <c r="B26" s="12" t="inlineStr">
        <is>
          <t>Kare (curry japonês) com lombo de porco</t>
        </is>
      </c>
      <c r="C26" s="13" t="inlineStr"/>
      <c r="D26" s="13" t="inlineStr">
        <is>
          <t>1 concha (150-200 g do preparo, sem contar o arroz)</t>
        </is>
      </c>
      <c r="E26" s="13" t="inlineStr">
        <is>
          <t>1x/semana</t>
        </is>
      </c>
      <c r="F26" s="15" t="inlineStr">
        <is>
          <t>Moderar</t>
        </is>
      </c>
      <c r="G26" s="13" t="inlineStr"/>
      <c r="H26" s="12" t="inlineStr">
        <is>
          <t>O tablete de curry (roux) pronto costuma ser rico em sódio e conter gordura saturada (geralmente óleo de palma) na sua composição, além de ser espessado com farinha de trigo — é o principal ponto de atenção do prato, não o lombo suíno (corte magro) nem os vegetais (batata, cenoura, cebola). Preferir marcas com menos sódio por porção, se o rótulo estiver disponível. Sugestão gerada por IA — confirmar com nutricionista/cardiologista.</t>
        </is>
      </c>
    </row>
    <row r="27" ht="19.5" customHeight="1">
      <c r="A27" s="10" t="inlineStr">
        <is>
          <t>Laticínios</t>
        </is>
      </c>
      <c r="B27" s="11" t="n"/>
      <c r="C27" s="11" t="n"/>
      <c r="D27" s="11" t="n"/>
      <c r="E27" s="11" t="n"/>
      <c r="F27" s="11" t="n"/>
      <c r="G27" s="11" t="n"/>
      <c r="H27" s="11" t="n"/>
    </row>
    <row r="28" ht="30" customHeight="1">
      <c r="B28" s="12" t="inlineStr">
        <is>
          <t>Leite desnatado</t>
        </is>
      </c>
      <c r="C28" s="13" t="inlineStr"/>
      <c r="D28" s="13" t="inlineStr">
        <is>
          <t>200 ml</t>
        </is>
      </c>
      <c r="E28" s="13" t="inlineStr">
        <is>
          <t>1x/dia</t>
        </is>
      </c>
      <c r="F28" s="14" t="inlineStr">
        <is>
          <t>Liberado</t>
        </is>
      </c>
      <c r="G28" s="13" t="inlineStr"/>
      <c r="H28" s="12" t="inlineStr"/>
    </row>
    <row r="29" ht="49.5" customHeight="1">
      <c r="B29" s="12" t="inlineStr">
        <is>
          <t>Queijo branco frescal</t>
        </is>
      </c>
      <c r="C29" s="13" t="inlineStr"/>
      <c r="D29" s="13" t="inlineStr">
        <is>
          <t>30 g</t>
        </is>
      </c>
      <c r="E29" s="13" t="inlineStr">
        <is>
          <t>3x/semana</t>
        </is>
      </c>
      <c r="F29" s="14" t="inlineStr">
        <is>
          <t>Liberado</t>
        </is>
      </c>
      <c r="G29" s="13" t="inlineStr"/>
      <c r="H29" s="12" t="inlineStr">
        <is>
          <t>Tipo fresco (ex.: Minas frescal), sem cura/salga pesada — bem menos sódio e gordura que queijos curados. Sugestão gerada por IA — confirmar com nutricionista/cardiologista.</t>
        </is>
      </c>
    </row>
    <row r="30" ht="49.5" customHeight="1">
      <c r="B30" s="12" t="inlineStr">
        <is>
          <t>Queijo frescal light</t>
        </is>
      </c>
      <c r="C30" s="13" t="inlineStr">
        <is>
          <t>Polenghi</t>
        </is>
      </c>
      <c r="D30" s="13" t="inlineStr">
        <is>
          <t>30 g (1 fatia)</t>
        </is>
      </c>
      <c r="E30" s="13" t="inlineStr">
        <is>
          <t>3x/semana</t>
        </is>
      </c>
      <c r="F30" s="14" t="inlineStr">
        <is>
          <t>Liberado</t>
        </is>
      </c>
      <c r="G30" s="13" t="inlineStr"/>
      <c r="H30" s="12" t="inlineStr">
        <is>
          <t>Rótulo real: 41 kcal e 105 mg de sódio por porção (bem abaixo de queijos comuns), 1,5 g de gordura saturada, sem açúcar adicionado. Contém lactose; sem glúten; pode conter soja.</t>
        </is>
      </c>
    </row>
    <row r="31" ht="49.5" customHeight="1">
      <c r="B31" s="12" t="inlineStr">
        <is>
          <t>Mussarela</t>
        </is>
      </c>
      <c r="C31" s="13" t="inlineStr"/>
      <c r="D31" s="13" t="inlineStr">
        <is>
          <t>30 g</t>
        </is>
      </c>
      <c r="E31" s="13" t="inlineStr">
        <is>
          <t>2x/semana</t>
        </is>
      </c>
      <c r="F31" s="15" t="inlineStr">
        <is>
          <t>Moderar</t>
        </is>
      </c>
      <c r="G31" s="13" t="inlineStr"/>
      <c r="H31" s="12" t="inlineStr">
        <is>
          <t>Mais gordura saturada e sódio que o queijo branco frescal; prefira o frescal no dia a dia. Sugestão gerada por IA — confirmar com nutricionista/cardiologista.</t>
        </is>
      </c>
    </row>
    <row r="32" ht="30" customHeight="1">
      <c r="B32" s="12" t="inlineStr">
        <is>
          <t>Iogurte natural (desnatado, sem açúcar)</t>
        </is>
      </c>
      <c r="C32" s="13" t="inlineStr"/>
      <c r="D32" s="13" t="inlineStr">
        <is>
          <t>1 unidade</t>
        </is>
      </c>
      <c r="E32" s="13" t="inlineStr">
        <is>
          <t>1x/dia</t>
        </is>
      </c>
      <c r="F32" s="14" t="inlineStr">
        <is>
          <t>Liberado</t>
        </is>
      </c>
      <c r="G32" s="13" t="inlineStr"/>
      <c r="H32" s="12" t="inlineStr">
        <is>
          <t>Prefira sempre a versão sem açúcar adicionado</t>
        </is>
      </c>
    </row>
    <row r="33" ht="49.5" customHeight="1">
      <c r="B33" s="12" t="inlineStr">
        <is>
          <t>Iogurte grego zero</t>
        </is>
      </c>
      <c r="C33" s="13" t="inlineStr">
        <is>
          <t>Vigor</t>
        </is>
      </c>
      <c r="D33" s="13" t="inlineStr">
        <is>
          <t>90 g (1 pote)</t>
        </is>
      </c>
      <c r="E33" s="13" t="inlineStr">
        <is>
          <t>1x/dia</t>
        </is>
      </c>
      <c r="F33" s="14" t="inlineStr">
        <is>
          <t>Liberado</t>
        </is>
      </c>
      <c r="G33" s="13" t="inlineStr"/>
      <c r="H33" s="12" t="inlineStr">
        <is>
          <t>Rótulo real: 50 kcal, 6,8 g de proteína (bem mais que iogurte comum), 0,2 g de gordura, 51 mg de sódio, zero adição de açúcar/gordura, sem lactose. Contém edulcorantes (sucralose e ciclamato).</t>
        </is>
      </c>
    </row>
    <row r="34" ht="36" customHeight="1">
      <c r="B34" s="12" t="inlineStr">
        <is>
          <t>Requeijão</t>
        </is>
      </c>
      <c r="C34" s="13" t="inlineStr"/>
      <c r="D34" s="13" t="inlineStr">
        <is>
          <t>1 colher de sopa (≈15 g)</t>
        </is>
      </c>
      <c r="E34" s="13" t="inlineStr">
        <is>
          <t>2x/semana</t>
        </is>
      </c>
      <c r="F34" s="15" t="inlineStr">
        <is>
          <t>Moderar</t>
        </is>
      </c>
      <c r="G34" s="13" t="inlineStr"/>
      <c r="H34" s="12" t="inlineStr">
        <is>
          <t>Rico em gordura saturada e sódio; prefira a versão light. Sugestão gerada por IA — confirmar com nutricionista/cardiologista.</t>
        </is>
      </c>
    </row>
    <row r="35" ht="134" customHeight="1">
      <c r="B35" s="12" t="inlineStr">
        <is>
          <t>Cream cheese light</t>
        </is>
      </c>
      <c r="C35" s="13" t="inlineStr">
        <is>
          <t>Philadelphia</t>
        </is>
      </c>
      <c r="D35" s="13" t="inlineStr">
        <is>
          <t>1 colher de sopa (30 g)</t>
        </is>
      </c>
      <c r="E35" s="13" t="inlineStr">
        <is>
          <t>2x/semana</t>
        </is>
      </c>
      <c r="F35" s="15" t="inlineStr">
        <is>
          <t>Moderar</t>
        </is>
      </c>
      <c r="G35" s="13" t="inlineStr"/>
      <c r="H35" s="12" t="inlineStr">
        <is>
          <t>Rótulo real (30 g): 63 kcal, 3,5 g de gordura saturada e 0,1 g de gordura trans (mesmo sendo 'light', é bastante gordura saturada para uma porção — quase 30% do limite diário recomendado num plano de 2000 kcal), 115 mg de sódio, 1,1 g de açúcar (sem açúcar adicionado). Ingredientes: leite integral, creme de leite, leite em pó desnatado, sal, fermento lático, espessantes (goma jataí, carragena), conservador sorbato de potássio (não é o mesmo que sal light/cloreto de potássio — sem interação com o Enalapril). Sugestão gerada por IA — confirmar com nutricionista/cardiologista.</t>
        </is>
      </c>
    </row>
    <row r="36" ht="19.5" customHeight="1">
      <c r="A36" s="10" t="inlineStr">
        <is>
          <t>Bebidas</t>
        </is>
      </c>
      <c r="B36" s="11" t="n"/>
      <c r="C36" s="11" t="n"/>
      <c r="D36" s="11" t="n"/>
      <c r="E36" s="11" t="n"/>
      <c r="F36" s="11" t="n"/>
      <c r="G36" s="11" t="n"/>
      <c r="H36" s="11" t="n"/>
    </row>
    <row r="37" ht="30" customHeight="1">
      <c r="B37" s="12" t="inlineStr">
        <is>
          <t>Água</t>
        </is>
      </c>
      <c r="C37" s="13" t="inlineStr"/>
      <c r="D37" s="13" t="inlineStr">
        <is>
          <t>à vontade</t>
        </is>
      </c>
      <c r="E37" s="13" t="inlineStr">
        <is>
          <t>todos os dias</t>
        </is>
      </c>
      <c r="F37" s="14" t="inlineStr">
        <is>
          <t>Liberado</t>
        </is>
      </c>
      <c r="G37" s="13" t="inlineStr"/>
      <c r="H37" s="12" t="inlineStr"/>
    </row>
    <row r="38" ht="30" customHeight="1">
      <c r="B38" s="12" t="inlineStr">
        <is>
          <t>Refrigerante zero</t>
        </is>
      </c>
      <c r="C38" s="13" t="inlineStr"/>
      <c r="D38" s="13" t="inlineStr">
        <is>
          <t>200 ml</t>
        </is>
      </c>
      <c r="E38" s="13" t="inlineStr">
        <is>
          <t>1x/dia</t>
        </is>
      </c>
      <c r="F38" s="15" t="inlineStr">
        <is>
          <t>Moderar</t>
        </is>
      </c>
      <c r="G38" s="13" t="inlineStr"/>
      <c r="H38" s="12" t="inlineStr">
        <is>
          <t>Sugestão gerada por IA — confirmar com nutricionista/cardiologista</t>
        </is>
      </c>
    </row>
    <row r="39" ht="30" customHeight="1">
      <c r="B39" s="12" t="inlineStr">
        <is>
          <t>Café sem açúcar</t>
        </is>
      </c>
      <c r="C39" s="13" t="inlineStr"/>
      <c r="D39" s="13" t="inlineStr">
        <is>
          <t>1 xícara</t>
        </is>
      </c>
      <c r="E39" s="13" t="inlineStr">
        <is>
          <t>2x/dia</t>
        </is>
      </c>
      <c r="F39" s="14" t="inlineStr">
        <is>
          <t>Liberado</t>
        </is>
      </c>
      <c r="G39" s="13" t="inlineStr"/>
      <c r="H39" s="12" t="inlineStr"/>
    </row>
    <row r="40" ht="30" customHeight="1">
      <c r="B40" s="12" t="inlineStr">
        <is>
          <t>Suco natural sem açúcar</t>
        </is>
      </c>
      <c r="C40" s="13" t="inlineStr"/>
      <c r="D40" s="13" t="inlineStr">
        <is>
          <t>200 ml</t>
        </is>
      </c>
      <c r="E40" s="13" t="inlineStr">
        <is>
          <t>3x/semana</t>
        </is>
      </c>
      <c r="F40" s="15" t="inlineStr">
        <is>
          <t>Moderar</t>
        </is>
      </c>
      <c r="G40" s="13" t="inlineStr"/>
      <c r="H40" s="12" t="inlineStr">
        <is>
          <t>Preferir a fruta inteira, que tem mais fibra</t>
        </is>
      </c>
    </row>
    <row r="41" ht="63.75" customHeight="1">
      <c r="B41" s="12" t="inlineStr">
        <is>
          <t>Suco de toranja / grapefruit</t>
        </is>
      </c>
      <c r="C41" s="13" t="inlineStr"/>
      <c r="D41" s="13" t="inlineStr">
        <is>
          <t>-</t>
        </is>
      </c>
      <c r="E41" s="13" t="inlineStr">
        <is>
          <t>evitar</t>
        </is>
      </c>
      <c r="F41" s="17" t="inlineStr">
        <is>
          <t>Evitar</t>
        </is>
      </c>
      <c r="G41" s="13" t="inlineStr"/>
      <c r="H41"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42" ht="36" customHeight="1">
      <c r="B42" s="12" t="inlineStr">
        <is>
          <t>Bebida alcoólica</t>
        </is>
      </c>
      <c r="C42" s="13" t="inlineStr"/>
      <c r="D42" s="13" t="inlineStr">
        <is>
          <t>-</t>
        </is>
      </c>
      <c r="E42" s="13" t="inlineStr">
        <is>
          <t>evitar</t>
        </is>
      </c>
      <c r="F42" s="17" t="inlineStr">
        <is>
          <t>Evitar</t>
        </is>
      </c>
      <c r="G42" s="13" t="inlineStr"/>
      <c r="H42" s="12" t="inlineStr">
        <is>
          <t>Piora diretamente os triglicerídeos; soma-se ao risco de sangramento da Aspirina + Ticagrelor.</t>
        </is>
      </c>
    </row>
    <row r="43" ht="19.5" customHeight="1">
      <c r="A43" s="10" t="inlineStr">
        <is>
          <t>Doces e Sobremesas</t>
        </is>
      </c>
      <c r="B43" s="11" t="n"/>
      <c r="C43" s="11" t="n"/>
      <c r="D43" s="11" t="n"/>
      <c r="E43" s="11" t="n"/>
      <c r="F43" s="11" t="n"/>
      <c r="G43" s="11" t="n"/>
      <c r="H43" s="11" t="n"/>
    </row>
    <row r="44" ht="30" customHeight="1">
      <c r="B44" s="12" t="inlineStr">
        <is>
          <t>Açúcar refinado</t>
        </is>
      </c>
      <c r="C44" s="13" t="inlineStr"/>
      <c r="D44" s="13" t="inlineStr">
        <is>
          <t>-</t>
        </is>
      </c>
      <c r="E44" s="13" t="inlineStr">
        <is>
          <t>evitar</t>
        </is>
      </c>
      <c r="F44" s="17" t="inlineStr">
        <is>
          <t>Evitar</t>
        </is>
      </c>
      <c r="G44" s="13" t="inlineStr"/>
      <c r="H44" s="12" t="inlineStr">
        <is>
          <t>Impacto direto nos triglicerídeos</t>
        </is>
      </c>
    </row>
    <row r="45" ht="30" customHeight="1">
      <c r="B45" s="12" t="inlineStr">
        <is>
          <t>Doces industrializados</t>
        </is>
      </c>
      <c r="C45" s="13" t="inlineStr"/>
      <c r="D45" s="13" t="inlineStr">
        <is>
          <t>-</t>
        </is>
      </c>
      <c r="E45" s="13" t="inlineStr">
        <is>
          <t>evitar</t>
        </is>
      </c>
      <c r="F45" s="17" t="inlineStr">
        <is>
          <t>Evitar</t>
        </is>
      </c>
      <c r="G45" s="13" t="inlineStr"/>
      <c r="H45" s="12" t="inlineStr"/>
    </row>
    <row r="46" ht="30" customHeight="1">
      <c r="B46" s="12" t="inlineStr">
        <is>
          <t>Chocolate amargo (70%+)</t>
        </is>
      </c>
      <c r="C46" s="13" t="inlineStr"/>
      <c r="D46" s="13" t="inlineStr">
        <is>
          <t>10 g</t>
        </is>
      </c>
      <c r="E46" s="13" t="inlineStr">
        <is>
          <t>2x/semana</t>
        </is>
      </c>
      <c r="F46" s="15" t="inlineStr">
        <is>
          <t>Moderar</t>
        </is>
      </c>
      <c r="G46" s="13" t="inlineStr"/>
      <c r="H46" s="12" t="inlineStr">
        <is>
          <t>Sugestão gerada por IA — confirmar com nutricionista/cardiologista</t>
        </is>
      </c>
    </row>
    <row r="47" ht="19.5" customHeight="1">
      <c r="A47" s="10" t="inlineStr">
        <is>
          <t>Gorduras e Temperos</t>
        </is>
      </c>
      <c r="B47" s="11" t="n"/>
      <c r="C47" s="11" t="n"/>
      <c r="D47" s="11" t="n"/>
      <c r="E47" s="11" t="n"/>
      <c r="F47" s="11" t="n"/>
      <c r="G47" s="11" t="n"/>
      <c r="H47" s="11" t="n"/>
    </row>
    <row r="48" ht="30" customHeight="1">
      <c r="B48" s="12" t="inlineStr">
        <is>
          <t>Azeite de oliva extra virgem</t>
        </is>
      </c>
      <c r="C48" s="13" t="inlineStr"/>
      <c r="D48" s="13" t="inlineStr">
        <is>
          <t>1-2 colheres de sopa</t>
        </is>
      </c>
      <c r="E48" s="13" t="inlineStr">
        <is>
          <t>1x/dia</t>
        </is>
      </c>
      <c r="F48" s="14" t="inlineStr">
        <is>
          <t>Liberado</t>
        </is>
      </c>
      <c r="G48" s="13" t="inlineStr"/>
      <c r="H48" s="12" t="inlineStr"/>
    </row>
    <row r="49" ht="30" customHeight="1">
      <c r="B49" s="12" t="inlineStr">
        <is>
          <t>Manteiga</t>
        </is>
      </c>
      <c r="C49" s="13" t="inlineStr"/>
      <c r="D49" s="13" t="inlineStr">
        <is>
          <t>-</t>
        </is>
      </c>
      <c r="E49" s="13" t="inlineStr">
        <is>
          <t>evitar</t>
        </is>
      </c>
      <c r="F49" s="17" t="inlineStr">
        <is>
          <t>Evitar</t>
        </is>
      </c>
      <c r="G49" s="13" t="inlineStr"/>
      <c r="H49" s="12" t="inlineStr">
        <is>
          <t>Preferir azeite</t>
        </is>
      </c>
    </row>
    <row r="50" ht="30" customHeight="1">
      <c r="B50" s="12" t="inlineStr">
        <is>
          <t>Sal</t>
        </is>
      </c>
      <c r="C50" s="13" t="inlineStr"/>
      <c r="D50" s="13" t="inlineStr">
        <is>
          <t>&lt; 5 g no total</t>
        </is>
      </c>
      <c r="E50" s="13" t="inlineStr">
        <is>
          <t>todos os dias</t>
        </is>
      </c>
      <c r="F50" s="15" t="inlineStr">
        <is>
          <t>Moderar</t>
        </is>
      </c>
      <c r="G50" s="13" t="inlineStr"/>
      <c r="H50" s="12" t="inlineStr">
        <is>
          <t>Somar sal de cozinha + industrializados</t>
        </is>
      </c>
    </row>
    <row r="51" ht="78" customHeight="1">
      <c r="B51" s="12" t="inlineStr">
        <is>
          <t>Creme de tahine</t>
        </is>
      </c>
      <c r="C51" s="13" t="inlineStr"/>
      <c r="D51" s="13" t="inlineStr">
        <is>
          <t>1-2 colheres de sopa (receita: 4 col. sopa de tahine, 1 col. sopa de limão, 1 col. sopa de azeite, sal e água)</t>
        </is>
      </c>
      <c r="E51" s="13" t="inlineStr">
        <is>
          <t>3x/semana</t>
        </is>
      </c>
      <c r="F51" s="14" t="inlineStr">
        <is>
          <t>Liberado</t>
        </is>
      </c>
      <c r="G51" s="13" t="inlineStr"/>
      <c r="H51" s="12" t="inlineStr">
        <is>
          <t>Pasta de gergelim (tahine) + azeite: gorduras majoritariamente insaturadas, sem açúcar, boa fonte de cálcio/fibra — combina com o padrão de dieta mediterrânea recomendado. É calórico (rico em gordura), por isso porção moderada; controlar a quantidade de sal adicionado na receita. Sugestão gerada por IA — confirmar com nutricionista/cardiologista.</t>
        </is>
      </c>
    </row>
    <row r="52" ht="36" customHeight="1">
      <c r="B52" s="12" t="inlineStr">
        <is>
          <t>Sal light / substituto de sal (cloreto de potássio)</t>
        </is>
      </c>
      <c r="C52" s="13" t="inlineStr"/>
      <c r="D52" s="13" t="inlineStr">
        <is>
          <t>-</t>
        </is>
      </c>
      <c r="E52" s="13" t="inlineStr">
        <is>
          <t>evitar</t>
        </is>
      </c>
      <c r="F52" s="17" t="inlineStr">
        <is>
          <t>Evitar</t>
        </is>
      </c>
      <c r="G52" s="13" t="inlineStr"/>
      <c r="H52" s="12" t="inlineStr">
        <is>
          <t>Enalapril já tende a elevar o potássio; combinado com esse produto o risco de hipercalemia aumenta, ainda mais com a função renal pendente.</t>
        </is>
      </c>
    </row>
    <row r="53" ht="30" customHeight="1">
      <c r="B53" s="12" t="inlineStr">
        <is>
          <t>Ervas e temperos naturais</t>
        </is>
      </c>
      <c r="C53" s="13" t="inlineStr"/>
      <c r="D53" s="13" t="inlineStr">
        <is>
          <t>à vontade</t>
        </is>
      </c>
      <c r="E53" s="13" t="inlineStr">
        <is>
          <t>todos os dias</t>
        </is>
      </c>
      <c r="F53" s="14" t="inlineStr">
        <is>
          <t>Liberado</t>
        </is>
      </c>
      <c r="G53" s="13" t="inlineStr"/>
      <c r="H53" s="12" t="inlineStr"/>
    </row>
    <row r="54" ht="19.5" customHeight="1">
      <c r="A54" s="10" t="inlineStr">
        <is>
          <t>Vegetais e Verduras</t>
        </is>
      </c>
      <c r="B54" s="11" t="n"/>
      <c r="C54" s="11" t="n"/>
      <c r="D54" s="11" t="n"/>
      <c r="E54" s="11" t="n"/>
      <c r="F54" s="11" t="n"/>
      <c r="G54" s="11" t="n"/>
      <c r="H54" s="11" t="n"/>
    </row>
    <row r="55" ht="36" customHeight="1">
      <c r="B55" s="12" t="inlineStr">
        <is>
          <t>Vegetais e verduras em geral</t>
        </is>
      </c>
      <c r="C55" s="13" t="inlineStr"/>
      <c r="D55" s="13" t="inlineStr">
        <is>
          <t>à vontade</t>
        </is>
      </c>
      <c r="E55" s="13" t="inlineStr">
        <is>
          <t>todos os dias</t>
        </is>
      </c>
      <c r="F55" s="14" t="inlineStr">
        <is>
          <t>Liberado</t>
        </is>
      </c>
      <c r="G55" s="13" t="inlineStr"/>
      <c r="H55" s="12" t="inlineStr">
        <is>
          <t>Se entrar anticoagulante na medicação, revisar consumo de verde-escuros ricos em vitamina K</t>
        </is>
      </c>
    </row>
    <row r="56" ht="36" customHeight="1">
      <c r="B56" s="12" t="inlineStr">
        <is>
          <t>Brócolis</t>
        </is>
      </c>
      <c r="C56" s="13" t="inlineStr"/>
      <c r="D56" s="13" t="inlineStr">
        <is>
          <t>à vontade</t>
        </is>
      </c>
      <c r="E56" s="13" t="inlineStr">
        <is>
          <t>todos os dias</t>
        </is>
      </c>
      <c r="F56" s="14" t="inlineStr">
        <is>
          <t>Liberado</t>
        </is>
      </c>
      <c r="G56" s="13" t="inlineStr"/>
      <c r="H56" s="12" t="inlineStr">
        <is>
          <t>Rico em fibras; combina bem com o padrão de dieta cardioprotetora recomendado.</t>
        </is>
      </c>
    </row>
    <row r="57" ht="36" customHeight="1">
      <c r="B57" s="12" t="inlineStr">
        <is>
          <t>Couve</t>
        </is>
      </c>
      <c r="C57" s="13" t="inlineStr"/>
      <c r="D57" s="13" t="inlineStr">
        <is>
          <t>à vontade</t>
        </is>
      </c>
      <c r="E57" s="13" t="inlineStr">
        <is>
          <t>todos os dias</t>
        </is>
      </c>
      <c r="F57" s="14" t="inlineStr">
        <is>
          <t>Liberado</t>
        </is>
      </c>
      <c r="G57" s="13" t="inlineStr"/>
      <c r="H57" s="12" t="inlineStr">
        <is>
          <t>Folha verde-escura rica em vitamina K — sem impacto hoje (nenhum anticoagulante em uso), mas vale reavaliar se isso mudar no tratamento.</t>
        </is>
      </c>
    </row>
    <row r="58" ht="36" customHeight="1">
      <c r="B58" s="12" t="inlineStr">
        <is>
          <t>Espinafre</t>
        </is>
      </c>
      <c r="C58" s="13" t="inlineStr"/>
      <c r="D58" s="13" t="inlineStr">
        <is>
          <t>à vontade</t>
        </is>
      </c>
      <c r="E58" s="13" t="inlineStr">
        <is>
          <t>todos os dias</t>
        </is>
      </c>
      <c r="F58" s="14" t="inlineStr">
        <is>
          <t>Liberado</t>
        </is>
      </c>
      <c r="G58" s="13" t="inlineStr"/>
      <c r="H58" s="12" t="inlineStr">
        <is>
          <t>Folha verde-escura rica em vitamina K — sem impacto hoje (nenhum anticoagulante em uso), mas vale reavaliar se isso mudar no tratamento.</t>
        </is>
      </c>
    </row>
    <row r="59" ht="30" customHeight="1">
      <c r="B59" s="12" t="inlineStr">
        <is>
          <t>Tomate</t>
        </is>
      </c>
      <c r="C59" s="13" t="inlineStr"/>
      <c r="D59" s="13" t="inlineStr">
        <is>
          <t>à vontade</t>
        </is>
      </c>
      <c r="E59" s="13" t="inlineStr">
        <is>
          <t>todos os dias</t>
        </is>
      </c>
      <c r="F59" s="14" t="inlineStr">
        <is>
          <t>Liberado</t>
        </is>
      </c>
      <c r="G59" s="13" t="inlineStr"/>
      <c r="H59" s="12" t="inlineStr"/>
    </row>
    <row r="60" ht="30" customHeight="1">
      <c r="B60" s="12" t="inlineStr">
        <is>
          <t>Cenoura</t>
        </is>
      </c>
      <c r="C60" s="13" t="inlineStr"/>
      <c r="D60" s="13" t="inlineStr">
        <is>
          <t>à vontade</t>
        </is>
      </c>
      <c r="E60" s="13" t="inlineStr">
        <is>
          <t>todos os dias</t>
        </is>
      </c>
      <c r="F60" s="14" t="inlineStr">
        <is>
          <t>Liberado</t>
        </is>
      </c>
      <c r="G60" s="13" t="inlineStr"/>
      <c r="H60" s="12" t="inlineStr"/>
    </row>
    <row r="61" ht="30" customHeight="1">
      <c r="B61" s="12" t="inlineStr">
        <is>
          <t>Abobrinha</t>
        </is>
      </c>
      <c r="C61" s="13" t="inlineStr"/>
      <c r="D61" s="13" t="inlineStr">
        <is>
          <t>à vontade</t>
        </is>
      </c>
      <c r="E61" s="13" t="inlineStr">
        <is>
          <t>todos os dias</t>
        </is>
      </c>
      <c r="F61" s="14" t="inlineStr">
        <is>
          <t>Liberado</t>
        </is>
      </c>
      <c r="G61" s="13" t="inlineStr"/>
      <c r="H61" s="12" t="inlineStr"/>
    </row>
    <row r="62" ht="30" customHeight="1">
      <c r="B62" s="12" t="inlineStr">
        <is>
          <t>Beterraba</t>
        </is>
      </c>
      <c r="C62" s="13" t="inlineStr"/>
      <c r="D62" s="13" t="inlineStr">
        <is>
          <t>à vontade</t>
        </is>
      </c>
      <c r="E62" s="13" t="inlineStr">
        <is>
          <t>3x/semana</t>
        </is>
      </c>
      <c r="F62" s="14" t="inlineStr">
        <is>
          <t>Liberado</t>
        </is>
      </c>
      <c r="G62" s="13" t="inlineStr"/>
      <c r="H62" s="12" t="inlineStr"/>
    </row>
    <row r="63" ht="30" customHeight="1">
      <c r="B63" s="12" t="inlineStr">
        <is>
          <t>Alface e folhas verdes (rúcula, agrião)</t>
        </is>
      </c>
      <c r="C63" s="13" t="inlineStr"/>
      <c r="D63" s="13" t="inlineStr">
        <is>
          <t>à vontade</t>
        </is>
      </c>
      <c r="E63" s="13" t="inlineStr">
        <is>
          <t>todos os dias</t>
        </is>
      </c>
      <c r="F63" s="14" t="inlineStr">
        <is>
          <t>Liberado</t>
        </is>
      </c>
      <c r="G63" s="13" t="inlineStr"/>
      <c r="H63" s="12" t="inlineStr"/>
    </row>
    <row r="64" ht="30" customHeight="1">
      <c r="B64" s="12" t="inlineStr">
        <is>
          <t>Pepino</t>
        </is>
      </c>
      <c r="C64" s="13" t="inlineStr"/>
      <c r="D64" s="13" t="inlineStr">
        <is>
          <t>à vontade</t>
        </is>
      </c>
      <c r="E64" s="13" t="inlineStr">
        <is>
          <t>todos os dias</t>
        </is>
      </c>
      <c r="F64" s="14" t="inlineStr">
        <is>
          <t>Liberado</t>
        </is>
      </c>
      <c r="G64" s="13" t="inlineStr"/>
      <c r="H64" s="12" t="inlineStr"/>
    </row>
    <row r="65" ht="30" customHeight="1">
      <c r="B65" s="12" t="inlineStr">
        <is>
          <t>Berinjela</t>
        </is>
      </c>
      <c r="C65" s="13" t="inlineStr"/>
      <c r="D65" s="13" t="inlineStr">
        <is>
          <t>à vontade</t>
        </is>
      </c>
      <c r="E65" s="13" t="inlineStr">
        <is>
          <t>3x/semana</t>
        </is>
      </c>
      <c r="F65" s="14" t="inlineStr">
        <is>
          <t>Liberado</t>
        </is>
      </c>
      <c r="G65" s="13" t="inlineStr"/>
      <c r="H65" s="12" t="inlineStr"/>
    </row>
    <row r="66" ht="30" customHeight="1">
      <c r="B66" s="12" t="inlineStr">
        <is>
          <t>Pimentão</t>
        </is>
      </c>
      <c r="C66" s="13" t="inlineStr"/>
      <c r="D66" s="13" t="inlineStr">
        <is>
          <t>à vontade</t>
        </is>
      </c>
      <c r="E66" s="13" t="inlineStr">
        <is>
          <t>todos os dias</t>
        </is>
      </c>
      <c r="F66" s="14" t="inlineStr">
        <is>
          <t>Liberado</t>
        </is>
      </c>
      <c r="G66" s="13" t="inlineStr"/>
      <c r="H66" s="12" t="inlineStr"/>
    </row>
    <row r="67" ht="30" customHeight="1">
      <c r="B67" s="12" t="inlineStr">
        <is>
          <t>Repolho</t>
        </is>
      </c>
      <c r="C67" s="13" t="inlineStr"/>
      <c r="D67" s="13" t="inlineStr">
        <is>
          <t>à vontade</t>
        </is>
      </c>
      <c r="E67" s="13" t="inlineStr">
        <is>
          <t>todos os dias</t>
        </is>
      </c>
      <c r="F67" s="14" t="inlineStr">
        <is>
          <t>Liberado</t>
        </is>
      </c>
      <c r="G67" s="13" t="inlineStr"/>
      <c r="H67" s="12" t="inlineStr"/>
    </row>
    <row r="69" ht="36" customHeight="1">
      <c r="A69" s="18"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18:H18"/>
    <mergeCell ref="A4:H4"/>
    <mergeCell ref="A69:H69"/>
    <mergeCell ref="G2:H2"/>
    <mergeCell ref="A43:H43"/>
    <mergeCell ref="A54:H54"/>
    <mergeCell ref="A36:H36"/>
    <mergeCell ref="A11:H11"/>
    <mergeCell ref="A47:H47"/>
    <mergeCell ref="A1:H1"/>
    <mergeCell ref="A27:H27"/>
  </mergeCells>
  <dataValidations count="1">
    <dataValidation sqref="G5 G6 G7 G8 G9 G10 G12 G13 G14 G15 G16 G17 G19 G20 G21 G22 G23 G24 G25 G26 G28 G29 G30 G31 G32 G33 G34 G35 G37 G38 G39 G40 G41 G42 G44 G45 G46 G48 G49 G50 G51 G52 G53 G55 G56 G57 G58 G59 G60 G61 G62 G63 G64 G65 G66 G67"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5.5" customHeight="1">
      <c r="A1" s="1" t="inlineStr">
        <is>
          <t>Montar uma Refeição — escolha os alimentos de cada refeição</t>
        </is>
      </c>
    </row>
    <row r="2" ht="48" customHeight="1">
      <c r="A2" s="18"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19.5" customHeight="1">
      <c r="A3" s="19" t="inlineStr">
        <is>
          <t>Legenda:</t>
        </is>
      </c>
      <c r="B3" s="20" t="inlineStr">
        <is>
          <t>Liberado</t>
        </is>
      </c>
      <c r="C3" s="21" t="inlineStr">
        <is>
          <t>Moderar</t>
        </is>
      </c>
      <c r="D3" s="22" t="inlineStr">
        <is>
          <t>Evitar</t>
        </is>
      </c>
      <c r="F3" s="23" t="inlineStr">
        <is>
          <t>⚠ Conflito</t>
        </is>
      </c>
    </row>
    <row r="5" ht="19.5" customHeight="1">
      <c r="A5" s="24" t="inlineStr">
        <is>
          <t>CAFÉ DA MANHÃ</t>
        </is>
      </c>
      <c r="B5" s="11" t="n"/>
      <c r="C5" s="11" t="n"/>
      <c r="D5" s="11" t="n"/>
      <c r="E5" s="11" t="n"/>
      <c r="F5" s="11" t="n"/>
      <c r="G5" s="11" t="n"/>
      <c r="H5" s="11" t="n"/>
    </row>
    <row r="6" ht="30" customHeight="1">
      <c r="A6" s="25" t="inlineStr">
        <is>
          <t>Nº</t>
        </is>
      </c>
      <c r="B6" s="25" t="inlineStr">
        <is>
          <t>Alimento</t>
        </is>
      </c>
      <c r="C6" s="25" t="inlineStr">
        <is>
          <t>Categoria</t>
        </is>
      </c>
      <c r="D6" s="25" t="inlineStr">
        <is>
          <t>Porção sugerida</t>
        </is>
      </c>
      <c r="E6" s="25" t="inlineStr">
        <is>
          <t>Quantidade a comer</t>
        </is>
      </c>
      <c r="F6" s="25" t="inlineStr">
        <is>
          <t>Classificação</t>
        </is>
      </c>
      <c r="G6" s="25" t="inlineStr">
        <is>
          <t>Sugestão (com base no item anterior)</t>
        </is>
      </c>
      <c r="H6" s="25" t="inlineStr">
        <is>
          <t>Conflito</t>
        </is>
      </c>
    </row>
    <row r="7" ht="25.5" customHeight="1">
      <c r="A7" s="26" t="n">
        <v>1</v>
      </c>
      <c r="B7" s="27" t="n"/>
      <c r="C7" s="28">
        <f>IFERROR(INDEX(Ref_Alimentos!$B$2:$B$101,MATCH($B7,Ref_Alimentos!$A$2:$A$101,0)),"")</f>
        <v/>
      </c>
      <c r="D7" s="29">
        <f>IFERROR(INDEX(Ref_Alimentos!$D$2:$D$101,MATCH($B7,Ref_Alimentos!$A$2:$A$101,0)),"")</f>
        <v/>
      </c>
      <c r="E7" s="26" t="n"/>
      <c r="F7" s="30">
        <f>IFERROR(INDEX(Ref_Alimentos!$C$2:$C$101,MATCH($B7,Ref_Alimentos!$A$2:$A$101,0)),"")</f>
        <v/>
      </c>
      <c r="G7" s="31" t="inlineStr"/>
      <c r="H7" s="32">
        <f>IF($B7="","",IF($F7="Evitar","⚠ Conflito",IF(AND($F7="Moderar",SUMPRODUCT(($B$7:$B$11&lt;&gt;"")*(ROW($B$7:$B$11)&lt;&gt;ROW($B7))*(($F$7:$F$11="Moderar")+($F$7:$F$11="Evitar")))&gt;0),"⚠ Conflito","")))</f>
        <v/>
      </c>
    </row>
    <row r="8" ht="25.5" customHeight="1">
      <c r="A8" s="26" t="n">
        <v>2</v>
      </c>
      <c r="B8" s="27" t="n"/>
      <c r="C8" s="28">
        <f>IFERROR(INDEX(Ref_Alimentos!$B$2:$B$101,MATCH($B8,Ref_Alimentos!$A$2:$A$101,0)),"")</f>
        <v/>
      </c>
      <c r="D8" s="29">
        <f>IFERROR(INDEX(Ref_Alimentos!$D$2:$D$101,MATCH($B8,Ref_Alimentos!$A$2:$A$101,0)),"")</f>
        <v/>
      </c>
      <c r="E8" s="26" t="n"/>
      <c r="F8" s="30">
        <f>IFERROR(INDEX(Ref_Alimentos!$C$2:$C$101,MATCH($B8,Ref_Alimentos!$A$2:$A$101,0)),"")</f>
        <v/>
      </c>
      <c r="G8" s="31">
        <f>IF($B7="","",IFERROR(INDEX(Ref_Alimentos!$R$2:$R$60,MATCH(IFERROR(INDEX(Ref_Alimentos!$U$2:$U$9,MATCH($C7,Ref_Alimentos!$T$2:$T$9,0)),"")&amp;"|"&amp;"Café da manhã",Ref_Alimentos!$Q$2:$Q$60,0)),""))</f>
        <v/>
      </c>
      <c r="H8" s="32">
        <f>IF($B8="","",IF($F8="Evitar","⚠ Conflito",IF(AND($F8="Moderar",SUMPRODUCT(($B$7:$B$11&lt;&gt;"")*(ROW($B$7:$B$11)&lt;&gt;ROW($B8))*(($F$7:$F$11="Moderar")+($F$7:$F$11="Evitar")))&gt;0),"⚠ Conflito","")))</f>
        <v/>
      </c>
    </row>
    <row r="9" ht="25.5" customHeight="1">
      <c r="A9" s="26" t="n">
        <v>3</v>
      </c>
      <c r="B9" s="27" t="n"/>
      <c r="C9" s="28">
        <f>IFERROR(INDEX(Ref_Alimentos!$B$2:$B$101,MATCH($B9,Ref_Alimentos!$A$2:$A$101,0)),"")</f>
        <v/>
      </c>
      <c r="D9" s="29">
        <f>IFERROR(INDEX(Ref_Alimentos!$D$2:$D$101,MATCH($B9,Ref_Alimentos!$A$2:$A$101,0)),"")</f>
        <v/>
      </c>
      <c r="E9" s="26" t="n"/>
      <c r="F9" s="30">
        <f>IFERROR(INDEX(Ref_Alimentos!$C$2:$C$101,MATCH($B9,Ref_Alimentos!$A$2:$A$101,0)),"")</f>
        <v/>
      </c>
      <c r="G9" s="31">
        <f>IF($B8="","",IFERROR(INDEX(Ref_Alimentos!$R$2:$R$60,MATCH(IFERROR(INDEX(Ref_Alimentos!$U$2:$U$9,MATCH($C8,Ref_Alimentos!$T$2:$T$9,0)),"")&amp;"|"&amp;"Café da manhã",Ref_Alimentos!$Q$2:$Q$60,0)),""))</f>
        <v/>
      </c>
      <c r="H9" s="32">
        <f>IF($B9="","",IF($F9="Evitar","⚠ Conflito",IF(AND($F9="Moderar",SUMPRODUCT(($B$7:$B$11&lt;&gt;"")*(ROW($B$7:$B$11)&lt;&gt;ROW($B9))*(($F$7:$F$11="Moderar")+($F$7:$F$11="Evitar")))&gt;0),"⚠ Conflito","")))</f>
        <v/>
      </c>
    </row>
    <row r="10" ht="25.5" customHeight="1">
      <c r="A10" s="26" t="n">
        <v>4</v>
      </c>
      <c r="B10" s="27" t="n"/>
      <c r="C10" s="28">
        <f>IFERROR(INDEX(Ref_Alimentos!$B$2:$B$101,MATCH($B10,Ref_Alimentos!$A$2:$A$101,0)),"")</f>
        <v/>
      </c>
      <c r="D10" s="29">
        <f>IFERROR(INDEX(Ref_Alimentos!$D$2:$D$101,MATCH($B10,Ref_Alimentos!$A$2:$A$101,0)),"")</f>
        <v/>
      </c>
      <c r="E10" s="26" t="n"/>
      <c r="F10" s="30">
        <f>IFERROR(INDEX(Ref_Alimentos!$C$2:$C$101,MATCH($B10,Ref_Alimentos!$A$2:$A$101,0)),"")</f>
        <v/>
      </c>
      <c r="G10" s="31">
        <f>IF($B9="","",IFERROR(INDEX(Ref_Alimentos!$R$2:$R$60,MATCH(IFERROR(INDEX(Ref_Alimentos!$U$2:$U$9,MATCH($C9,Ref_Alimentos!$T$2:$T$9,0)),"")&amp;"|"&amp;"Café da manhã",Ref_Alimentos!$Q$2:$Q$60,0)),""))</f>
        <v/>
      </c>
      <c r="H10" s="32">
        <f>IF($B10="","",IF($F10="Evitar","⚠ Conflito",IF(AND($F10="Moderar",SUMPRODUCT(($B$7:$B$11&lt;&gt;"")*(ROW($B$7:$B$11)&lt;&gt;ROW($B10))*(($F$7:$F$11="Moderar")+($F$7:$F$11="Evitar")))&gt;0),"⚠ Conflito","")))</f>
        <v/>
      </c>
    </row>
    <row r="11" ht="25.5" customHeight="1">
      <c r="A11" s="26" t="n">
        <v>5</v>
      </c>
      <c r="B11" s="27" t="n"/>
      <c r="C11" s="28">
        <f>IFERROR(INDEX(Ref_Alimentos!$B$2:$B$101,MATCH($B11,Ref_Alimentos!$A$2:$A$101,0)),"")</f>
        <v/>
      </c>
      <c r="D11" s="29">
        <f>IFERROR(INDEX(Ref_Alimentos!$D$2:$D$101,MATCH($B11,Ref_Alimentos!$A$2:$A$101,0)),"")</f>
        <v/>
      </c>
      <c r="E11" s="26" t="n"/>
      <c r="F11" s="30">
        <f>IFERROR(INDEX(Ref_Alimentos!$C$2:$C$101,MATCH($B11,Ref_Alimentos!$A$2:$A$101,0)),"")</f>
        <v/>
      </c>
      <c r="G11" s="31">
        <f>IF($B10="","",IFERROR(INDEX(Ref_Alimentos!$R$2:$R$60,MATCH(IFERROR(INDEX(Ref_Alimentos!$U$2:$U$9,MATCH($C10,Ref_Alimentos!$T$2:$T$9,0)),"")&amp;"|"&amp;"Café da manhã",Ref_Alimentos!$Q$2:$Q$60,0)),""))</f>
        <v/>
      </c>
      <c r="H11" s="32">
        <f>IF($B11="","",IF($F11="Evitar","⚠ Conflito",IF(AND($F11="Moderar",SUMPRODUCT(($B$7:$B$11&lt;&gt;"")*(ROW($B$7:$B$11)&lt;&gt;ROW($B11))*(($F$7:$F$11="Moderar")+($F$7:$F$11="Evitar")))&gt;0),"⚠ Conflito","")))</f>
        <v/>
      </c>
    </row>
    <row r="13" ht="19.5" customHeight="1">
      <c r="A13" s="24" t="inlineStr">
        <is>
          <t>ALMOÇO</t>
        </is>
      </c>
      <c r="B13" s="11" t="n"/>
      <c r="C13" s="11" t="n"/>
      <c r="D13" s="11" t="n"/>
      <c r="E13" s="11" t="n"/>
      <c r="F13" s="11" t="n"/>
      <c r="G13" s="11" t="n"/>
      <c r="H13" s="11" t="n"/>
    </row>
    <row r="14" ht="30" customHeight="1">
      <c r="A14" s="25" t="inlineStr">
        <is>
          <t>Nº</t>
        </is>
      </c>
      <c r="B14" s="25" t="inlineStr">
        <is>
          <t>Alimento</t>
        </is>
      </c>
      <c r="C14" s="25" t="inlineStr">
        <is>
          <t>Categoria</t>
        </is>
      </c>
      <c r="D14" s="25" t="inlineStr">
        <is>
          <t>Porção sugerida</t>
        </is>
      </c>
      <c r="E14" s="25" t="inlineStr">
        <is>
          <t>Quantidade a comer</t>
        </is>
      </c>
      <c r="F14" s="25" t="inlineStr">
        <is>
          <t>Classificação</t>
        </is>
      </c>
      <c r="G14" s="25" t="inlineStr">
        <is>
          <t>Sugestão (com base no item anterior)</t>
        </is>
      </c>
      <c r="H14" s="25" t="inlineStr">
        <is>
          <t>Conflito</t>
        </is>
      </c>
    </row>
    <row r="15" ht="25.5" customHeight="1">
      <c r="A15" s="26" t="n">
        <v>1</v>
      </c>
      <c r="B15" s="27" t="n"/>
      <c r="C15" s="28">
        <f>IFERROR(INDEX(Ref_Alimentos!$B$2:$B$101,MATCH($B15,Ref_Alimentos!$A$2:$A$101,0)),"")</f>
        <v/>
      </c>
      <c r="D15" s="29">
        <f>IFERROR(INDEX(Ref_Alimentos!$D$2:$D$101,MATCH($B15,Ref_Alimentos!$A$2:$A$101,0)),"")</f>
        <v/>
      </c>
      <c r="E15" s="26" t="n"/>
      <c r="F15" s="30">
        <f>IFERROR(INDEX(Ref_Alimentos!$C$2:$C$101,MATCH($B15,Ref_Alimentos!$A$2:$A$101,0)),"")</f>
        <v/>
      </c>
      <c r="G15" s="31" t="inlineStr"/>
      <c r="H15" s="32">
        <f>IF($B15="","",IF($F15="Evitar","⚠ Conflito",IF(AND($F15="Moderar",SUMPRODUCT(($B$15:$B$19&lt;&gt;"")*(ROW($B$15:$B$19)&lt;&gt;ROW($B15))*(($F$15:$F$19="Moderar")+($F$15:$F$19="Evitar")))&gt;0),"⚠ Conflito","")))</f>
        <v/>
      </c>
    </row>
    <row r="16" ht="25.5" customHeight="1">
      <c r="A16" s="26" t="n">
        <v>2</v>
      </c>
      <c r="B16" s="27" t="n"/>
      <c r="C16" s="28">
        <f>IFERROR(INDEX(Ref_Alimentos!$B$2:$B$101,MATCH($B16,Ref_Alimentos!$A$2:$A$101,0)),"")</f>
        <v/>
      </c>
      <c r="D16" s="29">
        <f>IFERROR(INDEX(Ref_Alimentos!$D$2:$D$101,MATCH($B16,Ref_Alimentos!$A$2:$A$101,0)),"")</f>
        <v/>
      </c>
      <c r="E16" s="26" t="n"/>
      <c r="F16" s="30">
        <f>IFERROR(INDEX(Ref_Alimentos!$C$2:$C$101,MATCH($B16,Ref_Alimentos!$A$2:$A$101,0)),"")</f>
        <v/>
      </c>
      <c r="G16" s="31">
        <f>IF($B15="","",IFERROR(INDEX(Ref_Alimentos!$R$2:$R$60,MATCH(IFERROR(INDEX(Ref_Alimentos!$U$2:$U$9,MATCH($C15,Ref_Alimentos!$T$2:$T$9,0)),"")&amp;"|"&amp;"Almoço",Ref_Alimentos!$Q$2:$Q$60,0)),""))</f>
        <v/>
      </c>
      <c r="H16" s="32">
        <f>IF($B16="","",IF($F16="Evitar","⚠ Conflito",IF(AND($F16="Moderar",SUMPRODUCT(($B$15:$B$19&lt;&gt;"")*(ROW($B$15:$B$19)&lt;&gt;ROW($B16))*(($F$15:$F$19="Moderar")+($F$15:$F$19="Evitar")))&gt;0),"⚠ Conflito","")))</f>
        <v/>
      </c>
    </row>
    <row r="17" ht="25.5" customHeight="1">
      <c r="A17" s="26" t="n">
        <v>3</v>
      </c>
      <c r="B17" s="27" t="n"/>
      <c r="C17" s="28">
        <f>IFERROR(INDEX(Ref_Alimentos!$B$2:$B$101,MATCH($B17,Ref_Alimentos!$A$2:$A$101,0)),"")</f>
        <v/>
      </c>
      <c r="D17" s="29">
        <f>IFERROR(INDEX(Ref_Alimentos!$D$2:$D$101,MATCH($B17,Ref_Alimentos!$A$2:$A$101,0)),"")</f>
        <v/>
      </c>
      <c r="E17" s="26" t="n"/>
      <c r="F17" s="30">
        <f>IFERROR(INDEX(Ref_Alimentos!$C$2:$C$101,MATCH($B17,Ref_Alimentos!$A$2:$A$101,0)),"")</f>
        <v/>
      </c>
      <c r="G17" s="31">
        <f>IF($B16="","",IFERROR(INDEX(Ref_Alimentos!$R$2:$R$60,MATCH(IFERROR(INDEX(Ref_Alimentos!$U$2:$U$9,MATCH($C16,Ref_Alimentos!$T$2:$T$9,0)),"")&amp;"|"&amp;"Almoço",Ref_Alimentos!$Q$2:$Q$60,0)),""))</f>
        <v/>
      </c>
      <c r="H17" s="32">
        <f>IF($B17="","",IF($F17="Evitar","⚠ Conflito",IF(AND($F17="Moderar",SUMPRODUCT(($B$15:$B$19&lt;&gt;"")*(ROW($B$15:$B$19)&lt;&gt;ROW($B17))*(($F$15:$F$19="Moderar")+($F$15:$F$19="Evitar")))&gt;0),"⚠ Conflito","")))</f>
        <v/>
      </c>
    </row>
    <row r="18" ht="25.5" customHeight="1">
      <c r="A18" s="26" t="n">
        <v>4</v>
      </c>
      <c r="B18" s="27" t="n"/>
      <c r="C18" s="28">
        <f>IFERROR(INDEX(Ref_Alimentos!$B$2:$B$101,MATCH($B18,Ref_Alimentos!$A$2:$A$101,0)),"")</f>
        <v/>
      </c>
      <c r="D18" s="29">
        <f>IFERROR(INDEX(Ref_Alimentos!$D$2:$D$101,MATCH($B18,Ref_Alimentos!$A$2:$A$101,0)),"")</f>
        <v/>
      </c>
      <c r="E18" s="26" t="n"/>
      <c r="F18" s="30">
        <f>IFERROR(INDEX(Ref_Alimentos!$C$2:$C$101,MATCH($B18,Ref_Alimentos!$A$2:$A$101,0)),"")</f>
        <v/>
      </c>
      <c r="G18" s="31">
        <f>IF($B17="","",IFERROR(INDEX(Ref_Alimentos!$R$2:$R$60,MATCH(IFERROR(INDEX(Ref_Alimentos!$U$2:$U$9,MATCH($C17,Ref_Alimentos!$T$2:$T$9,0)),"")&amp;"|"&amp;"Almoço",Ref_Alimentos!$Q$2:$Q$60,0)),""))</f>
        <v/>
      </c>
      <c r="H18" s="32">
        <f>IF($B18="","",IF($F18="Evitar","⚠ Conflito",IF(AND($F18="Moderar",SUMPRODUCT(($B$15:$B$19&lt;&gt;"")*(ROW($B$15:$B$19)&lt;&gt;ROW($B18))*(($F$15:$F$19="Moderar")+($F$15:$F$19="Evitar")))&gt;0),"⚠ Conflito","")))</f>
        <v/>
      </c>
    </row>
    <row r="19" ht="25.5" customHeight="1">
      <c r="A19" s="26" t="n">
        <v>5</v>
      </c>
      <c r="B19" s="27" t="n"/>
      <c r="C19" s="28">
        <f>IFERROR(INDEX(Ref_Alimentos!$B$2:$B$101,MATCH($B19,Ref_Alimentos!$A$2:$A$101,0)),"")</f>
        <v/>
      </c>
      <c r="D19" s="29">
        <f>IFERROR(INDEX(Ref_Alimentos!$D$2:$D$101,MATCH($B19,Ref_Alimentos!$A$2:$A$101,0)),"")</f>
        <v/>
      </c>
      <c r="E19" s="26" t="n"/>
      <c r="F19" s="30">
        <f>IFERROR(INDEX(Ref_Alimentos!$C$2:$C$101,MATCH($B19,Ref_Alimentos!$A$2:$A$101,0)),"")</f>
        <v/>
      </c>
      <c r="G19" s="31">
        <f>IF($B18="","",IFERROR(INDEX(Ref_Alimentos!$R$2:$R$60,MATCH(IFERROR(INDEX(Ref_Alimentos!$U$2:$U$9,MATCH($C18,Ref_Alimentos!$T$2:$T$9,0)),"")&amp;"|"&amp;"Almoço",Ref_Alimentos!$Q$2:$Q$60,0)),""))</f>
        <v/>
      </c>
      <c r="H19" s="32">
        <f>IF($B19="","",IF($F19="Evitar","⚠ Conflito",IF(AND($F19="Moderar",SUMPRODUCT(($B$15:$B$19&lt;&gt;"")*(ROW($B$15:$B$19)&lt;&gt;ROW($B19))*(($F$15:$F$19="Moderar")+($F$15:$F$19="Evitar")))&gt;0),"⚠ Conflito","")))</f>
        <v/>
      </c>
    </row>
    <row r="21" ht="19.5" customHeight="1">
      <c r="A21" s="24" t="inlineStr">
        <is>
          <t>LANCHE</t>
        </is>
      </c>
      <c r="B21" s="11" t="n"/>
      <c r="C21" s="11" t="n"/>
      <c r="D21" s="11" t="n"/>
      <c r="E21" s="11" t="n"/>
      <c r="F21" s="11" t="n"/>
      <c r="G21" s="11" t="n"/>
      <c r="H21" s="11" t="n"/>
    </row>
    <row r="22" ht="30" customHeight="1">
      <c r="A22" s="25" t="inlineStr">
        <is>
          <t>Nº</t>
        </is>
      </c>
      <c r="B22" s="25" t="inlineStr">
        <is>
          <t>Alimento</t>
        </is>
      </c>
      <c r="C22" s="25" t="inlineStr">
        <is>
          <t>Categoria</t>
        </is>
      </c>
      <c r="D22" s="25" t="inlineStr">
        <is>
          <t>Porção sugerida</t>
        </is>
      </c>
      <c r="E22" s="25" t="inlineStr">
        <is>
          <t>Quantidade a comer</t>
        </is>
      </c>
      <c r="F22" s="25" t="inlineStr">
        <is>
          <t>Classificação</t>
        </is>
      </c>
      <c r="G22" s="25" t="inlineStr">
        <is>
          <t>Sugestão (com base no item anterior)</t>
        </is>
      </c>
      <c r="H22" s="25" t="inlineStr">
        <is>
          <t>Conflito</t>
        </is>
      </c>
    </row>
    <row r="23" ht="25.5" customHeight="1">
      <c r="A23" s="26" t="n">
        <v>1</v>
      </c>
      <c r="B23" s="27" t="n"/>
      <c r="C23" s="28">
        <f>IFERROR(INDEX(Ref_Alimentos!$B$2:$B$101,MATCH($B23,Ref_Alimentos!$A$2:$A$101,0)),"")</f>
        <v/>
      </c>
      <c r="D23" s="29">
        <f>IFERROR(INDEX(Ref_Alimentos!$D$2:$D$101,MATCH($B23,Ref_Alimentos!$A$2:$A$101,0)),"")</f>
        <v/>
      </c>
      <c r="E23" s="26" t="n"/>
      <c r="F23" s="30">
        <f>IFERROR(INDEX(Ref_Alimentos!$C$2:$C$101,MATCH($B23,Ref_Alimentos!$A$2:$A$101,0)),"")</f>
        <v/>
      </c>
      <c r="G23" s="31" t="inlineStr"/>
      <c r="H23" s="32">
        <f>IF($B23="","",IF($F23="Evitar","⚠ Conflito",IF(AND($F23="Moderar",SUMPRODUCT(($B$23:$B$27&lt;&gt;"")*(ROW($B$23:$B$27)&lt;&gt;ROW($B23))*(($F$23:$F$27="Moderar")+($F$23:$F$27="Evitar")))&gt;0),"⚠ Conflito","")))</f>
        <v/>
      </c>
    </row>
    <row r="24" ht="25.5" customHeight="1">
      <c r="A24" s="26" t="n">
        <v>2</v>
      </c>
      <c r="B24" s="27" t="n"/>
      <c r="C24" s="28">
        <f>IFERROR(INDEX(Ref_Alimentos!$B$2:$B$101,MATCH($B24,Ref_Alimentos!$A$2:$A$101,0)),"")</f>
        <v/>
      </c>
      <c r="D24" s="29">
        <f>IFERROR(INDEX(Ref_Alimentos!$D$2:$D$101,MATCH($B24,Ref_Alimentos!$A$2:$A$101,0)),"")</f>
        <v/>
      </c>
      <c r="E24" s="26" t="n"/>
      <c r="F24" s="30">
        <f>IFERROR(INDEX(Ref_Alimentos!$C$2:$C$101,MATCH($B24,Ref_Alimentos!$A$2:$A$101,0)),"")</f>
        <v/>
      </c>
      <c r="G24" s="31">
        <f>IF($B23="","",IFERROR(INDEX(Ref_Alimentos!$R$2:$R$60,MATCH(IFERROR(INDEX(Ref_Alimentos!$U$2:$U$9,MATCH($C23,Ref_Alimentos!$T$2:$T$9,0)),"")&amp;"|"&amp;"Lanche",Ref_Alimentos!$Q$2:$Q$60,0)),""))</f>
        <v/>
      </c>
      <c r="H24" s="32">
        <f>IF($B24="","",IF($F24="Evitar","⚠ Conflito",IF(AND($F24="Moderar",SUMPRODUCT(($B$23:$B$27&lt;&gt;"")*(ROW($B$23:$B$27)&lt;&gt;ROW($B24))*(($F$23:$F$27="Moderar")+($F$23:$F$27="Evitar")))&gt;0),"⚠ Conflito","")))</f>
        <v/>
      </c>
    </row>
    <row r="25" ht="25.5" customHeight="1">
      <c r="A25" s="26" t="n">
        <v>3</v>
      </c>
      <c r="B25" s="27" t="n"/>
      <c r="C25" s="28">
        <f>IFERROR(INDEX(Ref_Alimentos!$B$2:$B$101,MATCH($B25,Ref_Alimentos!$A$2:$A$101,0)),"")</f>
        <v/>
      </c>
      <c r="D25" s="29">
        <f>IFERROR(INDEX(Ref_Alimentos!$D$2:$D$101,MATCH($B25,Ref_Alimentos!$A$2:$A$101,0)),"")</f>
        <v/>
      </c>
      <c r="E25" s="26" t="n"/>
      <c r="F25" s="30">
        <f>IFERROR(INDEX(Ref_Alimentos!$C$2:$C$101,MATCH($B25,Ref_Alimentos!$A$2:$A$101,0)),"")</f>
        <v/>
      </c>
      <c r="G25" s="31">
        <f>IF($B24="","",IFERROR(INDEX(Ref_Alimentos!$R$2:$R$60,MATCH(IFERROR(INDEX(Ref_Alimentos!$U$2:$U$9,MATCH($C24,Ref_Alimentos!$T$2:$T$9,0)),"")&amp;"|"&amp;"Lanche",Ref_Alimentos!$Q$2:$Q$60,0)),""))</f>
        <v/>
      </c>
      <c r="H25" s="32">
        <f>IF($B25="","",IF($F25="Evitar","⚠ Conflito",IF(AND($F25="Moderar",SUMPRODUCT(($B$23:$B$27&lt;&gt;"")*(ROW($B$23:$B$27)&lt;&gt;ROW($B25))*(($F$23:$F$27="Moderar")+($F$23:$F$27="Evitar")))&gt;0),"⚠ Conflito","")))</f>
        <v/>
      </c>
    </row>
    <row r="26" ht="25.5" customHeight="1">
      <c r="A26" s="26" t="n">
        <v>4</v>
      </c>
      <c r="B26" s="27" t="n"/>
      <c r="C26" s="28">
        <f>IFERROR(INDEX(Ref_Alimentos!$B$2:$B$101,MATCH($B26,Ref_Alimentos!$A$2:$A$101,0)),"")</f>
        <v/>
      </c>
      <c r="D26" s="29">
        <f>IFERROR(INDEX(Ref_Alimentos!$D$2:$D$101,MATCH($B26,Ref_Alimentos!$A$2:$A$101,0)),"")</f>
        <v/>
      </c>
      <c r="E26" s="26" t="n"/>
      <c r="F26" s="30">
        <f>IFERROR(INDEX(Ref_Alimentos!$C$2:$C$101,MATCH($B26,Ref_Alimentos!$A$2:$A$101,0)),"")</f>
        <v/>
      </c>
      <c r="G26" s="31">
        <f>IF($B25="","",IFERROR(INDEX(Ref_Alimentos!$R$2:$R$60,MATCH(IFERROR(INDEX(Ref_Alimentos!$U$2:$U$9,MATCH($C25,Ref_Alimentos!$T$2:$T$9,0)),"")&amp;"|"&amp;"Lanche",Ref_Alimentos!$Q$2:$Q$60,0)),""))</f>
        <v/>
      </c>
      <c r="H26" s="32">
        <f>IF($B26="","",IF($F26="Evitar","⚠ Conflito",IF(AND($F26="Moderar",SUMPRODUCT(($B$23:$B$27&lt;&gt;"")*(ROW($B$23:$B$27)&lt;&gt;ROW($B26))*(($F$23:$F$27="Moderar")+($F$23:$F$27="Evitar")))&gt;0),"⚠ Conflito","")))</f>
        <v/>
      </c>
    </row>
    <row r="27" ht="25.5" customHeight="1">
      <c r="A27" s="26" t="n">
        <v>5</v>
      </c>
      <c r="B27" s="27" t="n"/>
      <c r="C27" s="28">
        <f>IFERROR(INDEX(Ref_Alimentos!$B$2:$B$101,MATCH($B27,Ref_Alimentos!$A$2:$A$101,0)),"")</f>
        <v/>
      </c>
      <c r="D27" s="29">
        <f>IFERROR(INDEX(Ref_Alimentos!$D$2:$D$101,MATCH($B27,Ref_Alimentos!$A$2:$A$101,0)),"")</f>
        <v/>
      </c>
      <c r="E27" s="26" t="n"/>
      <c r="F27" s="30">
        <f>IFERROR(INDEX(Ref_Alimentos!$C$2:$C$101,MATCH($B27,Ref_Alimentos!$A$2:$A$101,0)),"")</f>
        <v/>
      </c>
      <c r="G27" s="31">
        <f>IF($B26="","",IFERROR(INDEX(Ref_Alimentos!$R$2:$R$60,MATCH(IFERROR(INDEX(Ref_Alimentos!$U$2:$U$9,MATCH($C26,Ref_Alimentos!$T$2:$T$9,0)),"")&amp;"|"&amp;"Lanche",Ref_Alimentos!$Q$2:$Q$60,0)),""))</f>
        <v/>
      </c>
      <c r="H27" s="32">
        <f>IF($B27="","",IF($F27="Evitar","⚠ Conflito",IF(AND($F27="Moderar",SUMPRODUCT(($B$23:$B$27&lt;&gt;"")*(ROW($B$23:$B$27)&lt;&gt;ROW($B27))*(($F$23:$F$27="Moderar")+($F$23:$F$27="Evitar")))&gt;0),"⚠ Conflito","")))</f>
        <v/>
      </c>
    </row>
    <row r="29" ht="19.5" customHeight="1">
      <c r="A29" s="24" t="inlineStr">
        <is>
          <t>JANTAR</t>
        </is>
      </c>
      <c r="B29" s="11" t="n"/>
      <c r="C29" s="11" t="n"/>
      <c r="D29" s="11" t="n"/>
      <c r="E29" s="11" t="n"/>
      <c r="F29" s="11" t="n"/>
      <c r="G29" s="11" t="n"/>
      <c r="H29" s="11" t="n"/>
    </row>
    <row r="30" ht="30" customHeight="1">
      <c r="A30" s="25" t="inlineStr">
        <is>
          <t>Nº</t>
        </is>
      </c>
      <c r="B30" s="25" t="inlineStr">
        <is>
          <t>Alimento</t>
        </is>
      </c>
      <c r="C30" s="25" t="inlineStr">
        <is>
          <t>Categoria</t>
        </is>
      </c>
      <c r="D30" s="25" t="inlineStr">
        <is>
          <t>Porção sugerida</t>
        </is>
      </c>
      <c r="E30" s="25" t="inlineStr">
        <is>
          <t>Quantidade a comer</t>
        </is>
      </c>
      <c r="F30" s="25" t="inlineStr">
        <is>
          <t>Classificação</t>
        </is>
      </c>
      <c r="G30" s="25" t="inlineStr">
        <is>
          <t>Sugestão (com base no item anterior)</t>
        </is>
      </c>
      <c r="H30" s="25" t="inlineStr">
        <is>
          <t>Conflito</t>
        </is>
      </c>
    </row>
    <row r="31" ht="25.5" customHeight="1">
      <c r="A31" s="26" t="n">
        <v>1</v>
      </c>
      <c r="B31" s="27" t="n"/>
      <c r="C31" s="28">
        <f>IFERROR(INDEX(Ref_Alimentos!$B$2:$B$101,MATCH($B31,Ref_Alimentos!$A$2:$A$101,0)),"")</f>
        <v/>
      </c>
      <c r="D31" s="29">
        <f>IFERROR(INDEX(Ref_Alimentos!$D$2:$D$101,MATCH($B31,Ref_Alimentos!$A$2:$A$101,0)),"")</f>
        <v/>
      </c>
      <c r="E31" s="26" t="n"/>
      <c r="F31" s="30">
        <f>IFERROR(INDEX(Ref_Alimentos!$C$2:$C$101,MATCH($B31,Ref_Alimentos!$A$2:$A$101,0)),"")</f>
        <v/>
      </c>
      <c r="G31" s="31" t="inlineStr"/>
      <c r="H31" s="32">
        <f>IF($B31="","",IF($F31="Evitar","⚠ Conflito",IF(AND($F31="Moderar",SUMPRODUCT(($B$31:$B$35&lt;&gt;"")*(ROW($B$31:$B$35)&lt;&gt;ROW($B31))*(($F$31:$F$35="Moderar")+($F$31:$F$35="Evitar")))&gt;0),"⚠ Conflito","")))</f>
        <v/>
      </c>
    </row>
    <row r="32" ht="25.5" customHeight="1">
      <c r="A32" s="26" t="n">
        <v>2</v>
      </c>
      <c r="B32" s="27" t="n"/>
      <c r="C32" s="28">
        <f>IFERROR(INDEX(Ref_Alimentos!$B$2:$B$101,MATCH($B32,Ref_Alimentos!$A$2:$A$101,0)),"")</f>
        <v/>
      </c>
      <c r="D32" s="29">
        <f>IFERROR(INDEX(Ref_Alimentos!$D$2:$D$101,MATCH($B32,Ref_Alimentos!$A$2:$A$101,0)),"")</f>
        <v/>
      </c>
      <c r="E32" s="26" t="n"/>
      <c r="F32" s="30">
        <f>IFERROR(INDEX(Ref_Alimentos!$C$2:$C$101,MATCH($B32,Ref_Alimentos!$A$2:$A$101,0)),"")</f>
        <v/>
      </c>
      <c r="G32" s="31">
        <f>IF($B31="","",IFERROR(INDEX(Ref_Alimentos!$R$2:$R$60,MATCH(IFERROR(INDEX(Ref_Alimentos!$U$2:$U$9,MATCH($C31,Ref_Alimentos!$T$2:$T$9,0)),"")&amp;"|"&amp;"Jantar",Ref_Alimentos!$Q$2:$Q$60,0)),""))</f>
        <v/>
      </c>
      <c r="H32" s="32">
        <f>IF($B32="","",IF($F32="Evitar","⚠ Conflito",IF(AND($F32="Moderar",SUMPRODUCT(($B$31:$B$35&lt;&gt;"")*(ROW($B$31:$B$35)&lt;&gt;ROW($B32))*(($F$31:$F$35="Moderar")+($F$31:$F$35="Evitar")))&gt;0),"⚠ Conflito","")))</f>
        <v/>
      </c>
    </row>
    <row r="33" ht="25.5" customHeight="1">
      <c r="A33" s="26" t="n">
        <v>3</v>
      </c>
      <c r="B33" s="27" t="n"/>
      <c r="C33" s="28">
        <f>IFERROR(INDEX(Ref_Alimentos!$B$2:$B$101,MATCH($B33,Ref_Alimentos!$A$2:$A$101,0)),"")</f>
        <v/>
      </c>
      <c r="D33" s="29">
        <f>IFERROR(INDEX(Ref_Alimentos!$D$2:$D$101,MATCH($B33,Ref_Alimentos!$A$2:$A$101,0)),"")</f>
        <v/>
      </c>
      <c r="E33" s="26" t="n"/>
      <c r="F33" s="30">
        <f>IFERROR(INDEX(Ref_Alimentos!$C$2:$C$101,MATCH($B33,Ref_Alimentos!$A$2:$A$101,0)),"")</f>
        <v/>
      </c>
      <c r="G33" s="31">
        <f>IF($B32="","",IFERROR(INDEX(Ref_Alimentos!$R$2:$R$60,MATCH(IFERROR(INDEX(Ref_Alimentos!$U$2:$U$9,MATCH($C32,Ref_Alimentos!$T$2:$T$9,0)),"")&amp;"|"&amp;"Jantar",Ref_Alimentos!$Q$2:$Q$60,0)),""))</f>
        <v/>
      </c>
      <c r="H33" s="32">
        <f>IF($B33="","",IF($F33="Evitar","⚠ Conflito",IF(AND($F33="Moderar",SUMPRODUCT(($B$31:$B$35&lt;&gt;"")*(ROW($B$31:$B$35)&lt;&gt;ROW($B33))*(($F$31:$F$35="Moderar")+($F$31:$F$35="Evitar")))&gt;0),"⚠ Conflito","")))</f>
        <v/>
      </c>
    </row>
    <row r="34" ht="25.5" customHeight="1">
      <c r="A34" s="26" t="n">
        <v>4</v>
      </c>
      <c r="B34" s="27" t="n"/>
      <c r="C34" s="28">
        <f>IFERROR(INDEX(Ref_Alimentos!$B$2:$B$101,MATCH($B34,Ref_Alimentos!$A$2:$A$101,0)),"")</f>
        <v/>
      </c>
      <c r="D34" s="29">
        <f>IFERROR(INDEX(Ref_Alimentos!$D$2:$D$101,MATCH($B34,Ref_Alimentos!$A$2:$A$101,0)),"")</f>
        <v/>
      </c>
      <c r="E34" s="26" t="n"/>
      <c r="F34" s="30">
        <f>IFERROR(INDEX(Ref_Alimentos!$C$2:$C$101,MATCH($B34,Ref_Alimentos!$A$2:$A$101,0)),"")</f>
        <v/>
      </c>
      <c r="G34" s="31">
        <f>IF($B33="","",IFERROR(INDEX(Ref_Alimentos!$R$2:$R$60,MATCH(IFERROR(INDEX(Ref_Alimentos!$U$2:$U$9,MATCH($C33,Ref_Alimentos!$T$2:$T$9,0)),"")&amp;"|"&amp;"Jantar",Ref_Alimentos!$Q$2:$Q$60,0)),""))</f>
        <v/>
      </c>
      <c r="H34" s="32">
        <f>IF($B34="","",IF($F34="Evitar","⚠ Conflito",IF(AND($F34="Moderar",SUMPRODUCT(($B$31:$B$35&lt;&gt;"")*(ROW($B$31:$B$35)&lt;&gt;ROW($B34))*(($F$31:$F$35="Moderar")+($F$31:$F$35="Evitar")))&gt;0),"⚠ Conflito","")))</f>
        <v/>
      </c>
    </row>
    <row r="35" ht="25.5" customHeight="1">
      <c r="A35" s="26" t="n">
        <v>5</v>
      </c>
      <c r="B35" s="27" t="n"/>
      <c r="C35" s="28">
        <f>IFERROR(INDEX(Ref_Alimentos!$B$2:$B$101,MATCH($B35,Ref_Alimentos!$A$2:$A$101,0)),"")</f>
        <v/>
      </c>
      <c r="D35" s="29">
        <f>IFERROR(INDEX(Ref_Alimentos!$D$2:$D$101,MATCH($B35,Ref_Alimentos!$A$2:$A$101,0)),"")</f>
        <v/>
      </c>
      <c r="E35" s="26" t="n"/>
      <c r="F35" s="30">
        <f>IFERROR(INDEX(Ref_Alimentos!$C$2:$C$101,MATCH($B35,Ref_Alimentos!$A$2:$A$101,0)),"")</f>
        <v/>
      </c>
      <c r="G35" s="31">
        <f>IF($B34="","",IFERROR(INDEX(Ref_Alimentos!$R$2:$R$60,MATCH(IFERROR(INDEX(Ref_Alimentos!$U$2:$U$9,MATCH($C34,Ref_Alimentos!$T$2:$T$9,0)),"")&amp;"|"&amp;"Jantar",Ref_Alimentos!$Q$2:$Q$60,0)),""))</f>
        <v/>
      </c>
      <c r="H35" s="32">
        <f>IF($B35="","",IF($F35="Evitar","⚠ Conflito",IF(AND($F35="Moderar",SUMPRODUCT(($B$31:$B$35&lt;&gt;"")*(ROW($B$31:$B$35)&lt;&gt;ROW($B35))*(($F$31:$F$35="Moderar")+($F$31:$F$35="Evitar")))&gt;0),"⚠ Conflito","")))</f>
        <v/>
      </c>
    </row>
    <row r="37" ht="43.5"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5.5" customHeight="1">
      <c r="A1" s="1" t="inlineStr">
        <is>
          <t>Fontes e Referências — de onde vieram as informações médicas</t>
        </is>
      </c>
    </row>
    <row r="2" ht="55.5" customHeight="1">
      <c r="A2" s="18"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36" customHeight="1">
      <c r="A4" s="33" t="n">
        <v>1</v>
      </c>
      <c r="B4" s="34" t="inlineStr">
        <is>
          <t>Suco de toranja em quantidade alta quase dobra o nível de Ticagrelor no sangue e aumenta seu efeito antiagregante</t>
        </is>
      </c>
      <c r="C4" s="35" t="inlineStr">
        <is>
          <t>Holmberg et al., 2013, Br J Clin Pharmacol (PubMed)</t>
        </is>
      </c>
      <c r="D4" s="34" t="inlineStr">
        <is>
          <t>Estudo clínico revisado por pares</t>
        </is>
      </c>
      <c r="E4" s="33" t="inlineStr">
        <is>
          <t>Alimentação</t>
        </is>
      </c>
      <c r="F4" s="36" t="inlineStr">
        <is>
          <t>https://pubmed.ncbi.nlm.nih.gov/23126367/</t>
        </is>
      </c>
    </row>
    <row r="5" ht="36" customHeight="1">
      <c r="A5" s="33" t="n">
        <v>2</v>
      </c>
      <c r="B5" s="34" t="inlineStr">
        <is>
          <t>Bula brasileira do Brilinta (Ticagrelor) cita esse estudo e orienta evitar suco de toranja em grande quantidade</t>
        </is>
      </c>
      <c r="C5" s="35" t="inlineStr">
        <is>
          <t>Bula profissional Brilinta, AstraZeneca do Brasil (aprovada pela Anvisa)</t>
        </is>
      </c>
      <c r="D5" s="34" t="inlineStr">
        <is>
          <t>Bula oficial (Anvisa)</t>
        </is>
      </c>
      <c r="E5" s="33" t="inlineStr">
        <is>
          <t>Alimentação</t>
        </is>
      </c>
      <c r="F5" s="36" t="inlineStr">
        <is>
          <t>https://www.azmed.com.br/content/dam/multibrand/br/pt/azmed-2022/home/bulas-profissionais/bulas/Brilinta_Bula_Profissional.pdf</t>
        </is>
      </c>
    </row>
    <row r="6" ht="36" customHeight="1">
      <c r="A6" s="33" t="n">
        <v>3</v>
      </c>
      <c r="B6" s="34" t="inlineStr">
        <is>
          <t>Enalapril (IECA) + sal light/suplemento de potássio aumenta risco de hipercalemia</t>
        </is>
      </c>
      <c r="C6" s="35" t="inlineStr">
        <is>
          <t>StatPearls (NCBI Bookshelf), "Enalapril"</t>
        </is>
      </c>
      <c r="D6" s="34" t="inlineStr">
        <is>
          <t>Referência clínica revisada por pares</t>
        </is>
      </c>
      <c r="E6" s="33" t="inlineStr">
        <is>
          <t>Alimentação</t>
        </is>
      </c>
      <c r="F6" s="36" t="inlineStr">
        <is>
          <t>https://www.ncbi.nlm.nih.gov/books/NBK557708/</t>
        </is>
      </c>
    </row>
    <row r="7" ht="36" customHeight="1">
      <c r="A7" s="33" t="n">
        <v>4</v>
      </c>
      <c r="B7" s="34" t="inlineStr">
        <is>
          <t>Álcool combinado com Aspirina aumenta o risco de sangramento gastrointestinal alto</t>
        </is>
      </c>
      <c r="C7" s="35" t="inlineStr">
        <is>
          <t>Kaufman et al., 1999, Ann Epidemiol (PubMed)</t>
        </is>
      </c>
      <c r="D7" s="34" t="inlineStr">
        <is>
          <t>Estudo epidemiológico revisado por pares</t>
        </is>
      </c>
      <c r="E7" s="33" t="inlineStr">
        <is>
          <t>Alimentação</t>
        </is>
      </c>
      <c r="F7" s="36" t="inlineStr">
        <is>
          <t>https://pubmed.ncbi.nlm.nih.gov/10566713/</t>
        </is>
      </c>
    </row>
    <row r="8" ht="36" customHeight="1">
      <c r="A8" s="33" t="n">
        <v>5</v>
      </c>
      <c r="B8" s="34" t="inlineStr">
        <is>
          <t>Arroz de levedura vermelha (red yeast rice) pode causar os mesmos efeitos colaterais e interações de uma estatina</t>
        </is>
      </c>
      <c r="C8" s="35" t="inlineStr">
        <is>
          <t>NIH — National Center for Complementary and Integrative Health</t>
        </is>
      </c>
      <c r="D8" s="34" t="inlineStr">
        <is>
          <t>Órgão oficial do governo dos EUA (NIH)</t>
        </is>
      </c>
      <c r="E8" s="33" t="inlineStr">
        <is>
          <t>Alimentação</t>
        </is>
      </c>
      <c r="F8" s="36" t="inlineStr">
        <is>
          <t>https://www.nccih.nih.gov/health/red-yeast-rice</t>
        </is>
      </c>
    </row>
    <row r="9" ht="36" customHeight="1">
      <c r="A9" s="33" t="n">
        <v>6</v>
      </c>
      <c r="B9" s="34" t="inlineStr">
        <is>
          <t>Rosuvastatina não tem interação relevante com toranja (via CYP2C9, diferente da via CYP3A4 usada pelo Ticagrelor)</t>
        </is>
      </c>
      <c r="C9" s="35" t="inlineStr">
        <is>
          <t>Bailey DG et al., 2013, CMAJ, "Grapefruit-medication interactions"</t>
        </is>
      </c>
      <c r="D9" s="34" t="inlineStr">
        <is>
          <t>Revisão científica revisada por pares</t>
        </is>
      </c>
      <c r="E9" s="33" t="inlineStr">
        <is>
          <t>Alimentação</t>
        </is>
      </c>
      <c r="F9" s="36" t="inlineStr">
        <is>
          <t>https://pmc.ncbi.nlm.nih.gov/articles/PMC3589309/</t>
        </is>
      </c>
    </row>
    <row r="10" ht="36" customHeight="1">
      <c r="A10" s="33" t="n">
        <v>7</v>
      </c>
      <c r="B10" s="34" t="inlineStr">
        <is>
          <t>Duração de 12 meses de dupla antiagregação (Aspirina + Ticagrelor) após stent em síndrome coronariana aguda</t>
        </is>
      </c>
      <c r="C10" s="35" t="inlineStr">
        <is>
          <t>2016 ACC/AHA Guideline Focused Update on DAPT; reafirmado na diretriz ACS 2025 (JACC)</t>
        </is>
      </c>
      <c r="D10" s="34" t="inlineStr">
        <is>
          <t>Diretriz de sociedades médicas (ACC/AHA)</t>
        </is>
      </c>
      <c r="E10" s="33" t="inlineStr">
        <is>
          <t>Alimentação</t>
        </is>
      </c>
      <c r="F10" s="36" t="inlineStr">
        <is>
          <t>https://www.acc.org/latest-in-cardiology/ten-points-to-remember/2016/03/25/14/56/2016-acc-aha-guideline-focused-update-on-dapt</t>
        </is>
      </c>
    </row>
    <row r="11" ht="49.5" customHeight="1">
      <c r="A11" s="33" t="n">
        <v>8</v>
      </c>
      <c r="B11" s="34" t="inlineStr">
        <is>
          <t>Metas de LDL pós-infarto: &lt;50 mg/dL (SBC 2017); &lt;40 mg/dL na categoria "risco extremo" (SBC 2025, com critérios adicionais); &lt;55 mg/dL (ESC/EAS 2019 e ACC/AHA, risco muito alto)</t>
        </is>
      </c>
      <c r="C11" s="35" t="inlineStr">
        <is>
          <t>Diretriz Brasileira de Dislipidemias e Prevenção da Aterosclerose 2025 (SBC), Arq Bras Cardiol</t>
        </is>
      </c>
      <c r="D11" s="34" t="inlineStr">
        <is>
          <t>Diretriz de sociedade médica (SBC)</t>
        </is>
      </c>
      <c r="E11" s="33" t="inlineStr">
        <is>
          <t>Alimentação</t>
        </is>
      </c>
      <c r="F11" s="36" t="inlineStr">
        <is>
          <t>https://www.scielo.br/j/abc/a/tRJrwGzKX6C4GvMqdJpZcGk/?lang=pt</t>
        </is>
      </c>
    </row>
    <row r="12" ht="49.5" customHeight="1">
      <c r="A12" s="33" t="n">
        <v>9</v>
      </c>
      <c r="B12" s="34" t="inlineStr">
        <is>
          <t>Diretriz alimentar cardioprotetora: sódio controlado, gordura saturada &lt;6% das calorias, padrão Mediterrâneo/DASH</t>
        </is>
      </c>
      <c r="C12" s="35" t="inlineStr">
        <is>
          <t>American Heart Association — AHA Diet and Lifestyle Recommendations / 2026 Dietary Guidance to Improve Cardiovascular Health (Circulation)</t>
        </is>
      </c>
      <c r="D12" s="34" t="inlineStr">
        <is>
          <t>Diretriz de sociedade médica (AHA)</t>
        </is>
      </c>
      <c r="E12" s="33" t="inlineStr">
        <is>
          <t>Alimentação</t>
        </is>
      </c>
      <c r="F12" s="36" t="inlineStr">
        <is>
          <t>https://www.heart.org/en/healthy-living/healthy-eating/eat-smart/nutrition-basics/aha-diet-and-lifestyle-recommendations</t>
        </is>
      </c>
    </row>
    <row r="13" ht="36" customHeight="1">
      <c r="A13" s="33" t="n">
        <v>10</v>
      </c>
      <c r="B13" s="34" t="inlineStr">
        <is>
          <t>No Brasil, a Dieta Cardioprotetora Brasileira (DICA Br) aplica essas mesmas recomendações a alimentos típicos brasileiros</t>
        </is>
      </c>
      <c r="C13" s="35" t="inlineStr">
        <is>
          <t>I Diretriz Brasileira de Prevenção Cardiovascular (SBC), Arq Bras Cardiol</t>
        </is>
      </c>
      <c r="D13" s="34" t="inlineStr">
        <is>
          <t>Diretriz de sociedade médica (SBC)</t>
        </is>
      </c>
      <c r="E13" s="33" t="inlineStr">
        <is>
          <t>Alimentação</t>
        </is>
      </c>
      <c r="F13" s="36" t="inlineStr">
        <is>
          <t>https://www.scielo.br/j/abc/a/X94tMKwdnBjkCzVKpXwBqmD/?lang=pt</t>
        </is>
      </c>
    </row>
    <row r="14" ht="36" customHeight="1">
      <c r="A14" s="33" t="n">
        <v>11</v>
      </c>
      <c r="B14" s="34" t="inlineStr">
        <is>
          <t>Critério objetivo de Lesão Renal Aguda (LRA) estágio 1: creatinina sobe ≥0,3 mg/dL em 48h</t>
        </is>
      </c>
      <c r="C14" s="35" t="inlineStr">
        <is>
          <t>KDIGO — Clinical Practice Guideline for Acute Kidney Injury, 2012</t>
        </is>
      </c>
      <c r="D14" s="34" t="inlineStr">
        <is>
          <t>Diretriz de sociedade médica (KDIGO)</t>
        </is>
      </c>
      <c r="E14" s="33" t="inlineStr">
        <is>
          <t>Clínico geral</t>
        </is>
      </c>
      <c r="F14" s="36" t="inlineStr">
        <is>
          <t>https://kdigo.org/wp-content/uploads/2016/10/KDIGO-2012-AKI-Guideline-English.pdf</t>
        </is>
      </c>
    </row>
    <row r="15" ht="36" customHeight="1">
      <c r="A15" s="33" t="n">
        <v>12</v>
      </c>
      <c r="B15" s="34" t="inlineStr">
        <is>
          <t>Exame padrão para proteinúria é a relação albumina/creatinina urinária (ACR/RAC), categorias A1/A2/A3</t>
        </is>
      </c>
      <c r="C15" s="35" t="inlineStr">
        <is>
          <t>KDIGO — Clinical Practice Guideline for CKD, 2012 (categorias mantidas na atualização 2024)</t>
        </is>
      </c>
      <c r="D15" s="34" t="inlineStr">
        <is>
          <t>Diretriz de sociedade médica (KDIGO)</t>
        </is>
      </c>
      <c r="E15" s="33" t="inlineStr">
        <is>
          <t>Clínico geral</t>
        </is>
      </c>
      <c r="F15" s="36" t="inlineStr">
        <is>
          <t>https://kdigo.org/wp-content/uploads/2017/02/KDIGO_2012_CKD_GL.pdf</t>
        </is>
      </c>
    </row>
    <row r="16" ht="36" customHeight="1">
      <c r="A16" s="33" t="n">
        <v>13</v>
      </c>
      <c r="B16" s="34" t="inlineStr">
        <is>
          <t>Múltiplas exposições a contraste em dias próximos são fator de risco para lesão renal por contraste, com pico em 3-5 dias e resolução em 7-14 dias</t>
        </is>
      </c>
      <c r="C16" s="35" t="inlineStr">
        <is>
          <t>ESUR — Post-contrast acute kidney injury, Guidelines v10.0, 2018</t>
        </is>
      </c>
      <c r="D16" s="34" t="inlineStr">
        <is>
          <t>Diretriz de sociedade médica (ESUR)</t>
        </is>
      </c>
      <c r="E16" s="33" t="inlineStr">
        <is>
          <t>Clínico geral</t>
        </is>
      </c>
      <c r="F16" s="36" t="inlineStr">
        <is>
          <t>https://www.esur.org/wp-content/uploads/2022/03/ESUR-Guidelines-10_0-Final-Version.pdf</t>
        </is>
      </c>
    </row>
    <row r="17" ht="36" customHeight="1">
      <c r="A17" s="33" t="n">
        <v>14</v>
      </c>
      <c r="B17" s="34" t="inlineStr">
        <is>
          <t>Definição de infarto periprocedimento (tipo 4a): troponina &gt;5x o limite superior + evidência de nova isquemia</t>
        </is>
      </c>
      <c r="C17" s="35" t="inlineStr">
        <is>
          <t>Thygesen K, Alpert JS et al. — Fourth Universal Definition of Myocardial Infarction, 2018</t>
        </is>
      </c>
      <c r="D17" s="34" t="inlineStr">
        <is>
          <t>Documento conjunto de sociedades médicas (ESC/ACC/AHA/WHF)</t>
        </is>
      </c>
      <c r="E17" s="33" t="inlineStr">
        <is>
          <t>Clínico geral</t>
        </is>
      </c>
      <c r="F17" s="36" t="inlineStr">
        <is>
          <t>https://www.ahajournals.org/doi/10.1161/CIR.0000000000000617</t>
        </is>
      </c>
    </row>
    <row r="18" ht="49.5" customHeight="1">
      <c r="A18" s="33" t="n">
        <v>15</v>
      </c>
      <c r="B18" s="34" t="inlineStr">
        <is>
          <t>Limiares de segurança para manter um IECA (Enalapril): potássio até 5,5 mmol/L e creatinina com alta até 50% (abaixo de 3 mg/dL) são toleráveis; reexame em 1-2 semanas</t>
        </is>
      </c>
      <c r="C18" s="35" t="inlineStr">
        <is>
          <t>ESC — Guidelines for the diagnosis and treatment of acute and chronic heart failure, 2021</t>
        </is>
      </c>
      <c r="D18" s="34" t="inlineStr">
        <is>
          <t>Diretriz de sociedade médica (ESC)</t>
        </is>
      </c>
      <c r="E18" s="33" t="inlineStr">
        <is>
          <t>Clínico geral</t>
        </is>
      </c>
      <c r="F18" s="36" t="inlineStr">
        <is>
          <t>https://academic.oup.com/eurheartj/article/42/36/3599/6358045</t>
        </is>
      </c>
    </row>
    <row r="19" ht="36" customHeight="1">
      <c r="A19" s="33" t="n">
        <v>16</v>
      </c>
      <c r="B19" s="34" t="inlineStr">
        <is>
          <t>Reforço da duração de 12 meses de dupla antiagregação após síndrome coronariana aguda</t>
        </is>
      </c>
      <c r="C19" s="35" t="inlineStr">
        <is>
          <t>ESC — Guidelines for the management of acute coronary syndromes, 2023</t>
        </is>
      </c>
      <c r="D19" s="34" t="inlineStr">
        <is>
          <t>Diretriz de sociedade médica (ESC)</t>
        </is>
      </c>
      <c r="E19" s="33" t="inlineStr">
        <is>
          <t>Clínico geral</t>
        </is>
      </c>
      <c r="F19" s="36" t="inlineStr">
        <is>
          <t>https://academic.oup.com/eurheartj/article/45/14/1193/7516285</t>
        </is>
      </c>
    </row>
    <row r="20" ht="36" customHeight="1">
      <c r="A20" s="33" t="n">
        <v>17</v>
      </c>
      <c r="B20" s="34" t="inlineStr">
        <is>
          <t>Encaminhamento para reabilitação cardíaca antes da alta é recomendação Classe 1 (a mais forte) após síndrome coronariana aguda</t>
        </is>
      </c>
      <c r="C20" s="35" t="inlineStr">
        <is>
          <t>ACC/AHA/ACEP/NAEMSP/SCAI — Guideline for the Management of Patients With Acute Coronary Syndromes, 2025</t>
        </is>
      </c>
      <c r="D20" s="34" t="inlineStr">
        <is>
          <t>Diretriz de sociedades médicas (ACC/AHA e outras)</t>
        </is>
      </c>
      <c r="E20" s="33" t="inlineStr">
        <is>
          <t>Clínico geral</t>
        </is>
      </c>
      <c r="F20" s="36" t="inlineStr">
        <is>
          <t>https://www.ahajournals.org/doi/10.1161/CIR.0000000000001309</t>
        </is>
      </c>
    </row>
    <row r="21" ht="36" customHeight="1">
      <c r="A21" s="33" t="n">
        <v>18</v>
      </c>
      <c r="B21" s="34" t="inlineStr">
        <is>
          <t>Estudo que sustenta a combinação estatina + ezetimiba para reduzir LDL após síndrome coronariana aguda (IMPROVE-IT)</t>
        </is>
      </c>
      <c r="C21" s="35" t="inlineStr">
        <is>
          <t>Cannon CP et al. — Ezetimibe Added to Statin Therapy after Acute Coronary Syndromes, N Engl J Med 2015</t>
        </is>
      </c>
      <c r="D21" s="34" t="inlineStr">
        <is>
          <t>Estudo clínico revisado por pares</t>
        </is>
      </c>
      <c r="E21" s="33" t="inlineStr">
        <is>
          <t>Alimentação</t>
        </is>
      </c>
      <c r="F21" s="36" t="inlineStr">
        <is>
          <t>https://www.nejm.org/doi/full/10.1056/NEJMoa1410489</t>
        </is>
      </c>
    </row>
    <row r="22" ht="36" customHeight="1">
      <c r="A22" s="33" t="n">
        <v>19</v>
      </c>
      <c r="B22" s="34" t="inlineStr">
        <is>
          <t>HbA1c ≥6,5% sugere diabetes prévio; abaixo de 5,7% (caso do paciente) é consistente com hiperglicemia de estresse, não diabetes</t>
        </is>
      </c>
      <c r="C22" s="35" t="inlineStr">
        <is>
          <t>American Diabetes Association — Standards of Care in Diabetes, edições 2024-2026</t>
        </is>
      </c>
      <c r="D22" s="34" t="inlineStr">
        <is>
          <t>Diretriz de sociedade médica (ADA)</t>
        </is>
      </c>
      <c r="E22" s="33" t="inlineStr">
        <is>
          <t>Clínico geral</t>
        </is>
      </c>
      <c r="F22" s="36" t="inlineStr">
        <is>
          <t>https://diabetesjournals.org/care/article/49/Supplement_1/S339/163925/16-Diabetes-Care-in-the-Hospital-Standards-of-Care</t>
        </is>
      </c>
    </row>
    <row r="23" ht="36" customHeight="1">
      <c r="A23" s="33" t="n">
        <v>20</v>
      </c>
      <c r="B23" s="34" t="inlineStr">
        <is>
          <t>Até 60% dos pacientes com hiperglicemia de estresse na internação desenvolvem diabetes em 6-12 meses</t>
        </is>
      </c>
      <c r="C23" s="35" t="inlineStr">
        <is>
          <t>Sociedade Brasileira de Diabetes — Hiperglicemia Hospitalar no Paciente Não-Crítico</t>
        </is>
      </c>
      <c r="D23" s="34" t="inlineStr">
        <is>
          <t>Diretriz de sociedade médica (SBD)</t>
        </is>
      </c>
      <c r="E23" s="33" t="inlineStr">
        <is>
          <t>Clínico geral</t>
        </is>
      </c>
      <c r="F23" s="36" t="inlineStr">
        <is>
          <t>https://diretriz.diabetes.org.br/hiperglicemia-hospitalar-em-paciente-nao-critico/</t>
        </is>
      </c>
    </row>
    <row r="24" ht="36" customHeight="1">
      <c r="A24" s="33" t="n">
        <v>21</v>
      </c>
      <c r="B24" s="34" t="inlineStr">
        <is>
          <t>Placa carotídea com estenose abaixo de 50% é tratada de forma conservadora (antiagregante, estatina, controle de pressão), sem indicação de cirurgia</t>
        </is>
      </c>
      <c r="C24" s="35" t="inlineStr">
        <is>
          <t>ESC/ESVS — Guidelines on Peripheral Arterial Diseases (2017/2018) e atualização sobre doença carotídea/vertebral (2023)</t>
        </is>
      </c>
      <c r="D24" s="34" t="inlineStr">
        <is>
          <t>Diretriz de sociedade médica (ESC/ESVS)</t>
        </is>
      </c>
      <c r="E24" s="33" t="inlineStr">
        <is>
          <t>Clínico geral</t>
        </is>
      </c>
      <c r="F24" s="36" t="inlineStr">
        <is>
          <t>https://academic.oup.com/eurheartj/article/39/9/763/4095038</t>
        </is>
      </c>
    </row>
    <row r="25" ht="36" customHeight="1">
      <c r="A25" s="33" t="n">
        <v>22</v>
      </c>
      <c r="B25" s="34" t="inlineStr">
        <is>
          <t>Mesma conduta conservadora para placa carotídea leve, do lado da prevenção de AVC</t>
        </is>
      </c>
      <c r="C25" s="35" t="inlineStr">
        <is>
          <t>AHA/ASA — Guideline for the Prevention of Stroke in Patients With Stroke and TIA, 2021</t>
        </is>
      </c>
      <c r="D25" s="34" t="inlineStr">
        <is>
          <t>Diretriz de sociedade médica (AHA/ASA)</t>
        </is>
      </c>
      <c r="E25" s="33" t="inlineStr">
        <is>
          <t>Clínico geral</t>
        </is>
      </c>
      <c r="F25" s="36" t="inlineStr">
        <is>
          <t>https://www.ahajournals.org/doi/10.1161/STR.0000000000000375</t>
        </is>
      </c>
    </row>
    <row r="27" ht="24" customHeight="1">
      <c r="A27" s="18"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57"/>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fuji (com casca)</t>
        </is>
      </c>
      <c r="B2" t="inlineStr">
        <is>
          <t>Frutas</t>
        </is>
      </c>
      <c r="C2" t="inlineStr">
        <is>
          <t>Liberado</t>
        </is>
      </c>
      <c r="D2" t="inlineStr">
        <is>
          <t>1 unidade</t>
        </is>
      </c>
      <c r="E2" t="inlineStr">
        <is>
          <t>1x/dia</t>
        </is>
      </c>
      <c r="F2" t="inlineStr">
        <is>
          <t>Vale para maçã em geral, com casca (mais fibra) — Fuji é só um pouco mais doce que outras variedades, sem diferença relevante para o quadro do paciente.</t>
        </is>
      </c>
      <c r="G2" t="inlineStr">
        <is>
          <t>X</t>
        </is>
      </c>
      <c r="H2" t="inlineStr"/>
      <c r="I2" t="inlineStr">
        <is>
          <t>X</t>
        </is>
      </c>
      <c r="J2" t="inlineStr"/>
      <c r="L2" t="inlineStr">
        <is>
          <t>Maçã fuji (com casca)</t>
        </is>
      </c>
      <c r="M2" t="inlineStr">
        <is>
          <t>Arroz integral</t>
        </is>
      </c>
      <c r="N2" t="inlineStr">
        <is>
          <t>Maçã fuji (com casca)</t>
        </is>
      </c>
      <c r="O2" t="inlineStr">
        <is>
          <t>Arroz integral</t>
        </is>
      </c>
      <c r="Q2" t="inlineStr">
        <is>
          <t>Frutas|Café da manhã</t>
        </is>
      </c>
      <c r="R2" t="inlineStr">
        <is>
          <t>Maçã fuji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 integral em flocos</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Sashimi de salmão</t>
        </is>
      </c>
      <c r="N4" t="inlineStr">
        <is>
          <t>Abacate</t>
        </is>
      </c>
      <c r="O4" t="inlineStr">
        <is>
          <t>Sashimi de salmão</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 integral em flocos</t>
        </is>
      </c>
      <c r="M5" t="inlineStr">
        <is>
          <t>Frango sem pele</t>
        </is>
      </c>
      <c r="N5" t="inlineStr">
        <is>
          <t>Pão de forma integral</t>
        </is>
      </c>
      <c r="O5" t="inlineStr">
        <is>
          <t>Frango sem pele</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Ovo</t>
        </is>
      </c>
      <c r="N6" t="inlineStr">
        <is>
          <t>Pão francês integral (multigrãos)</t>
        </is>
      </c>
      <c r="O6" t="inlineStr">
        <is>
          <t>Ovo</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Feijão / leguminosas</t>
        </is>
      </c>
      <c r="N7" t="inlineStr">
        <is>
          <t>Granola zero açúcar</t>
        </is>
      </c>
      <c r="O7" t="inlineStr">
        <is>
          <t>Feijão / leguminosas</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Granola zero açúcar</t>
        </is>
      </c>
      <c r="M8" t="inlineStr">
        <is>
          <t>Água</t>
        </is>
      </c>
      <c r="N8" t="inlineStr">
        <is>
          <t>Leite desnatado</t>
        </is>
      </c>
      <c r="O8" t="inlineStr">
        <is>
          <t>Água</t>
        </is>
      </c>
      <c r="Q8" t="inlineStr">
        <is>
          <t>Gorduras e Temperos|Café da manhã</t>
        </is>
      </c>
      <c r="R8" t="inlineStr">
        <is>
          <t>Creme de tahine</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Ovo</t>
        </is>
      </c>
      <c r="M9" t="inlineStr">
        <is>
          <t>Azeite de oliva extra virgem</t>
        </is>
      </c>
      <c r="N9" t="inlineStr">
        <is>
          <t>Queijo branco frescal</t>
        </is>
      </c>
      <c r="O9" t="inlineStr">
        <is>
          <t>Azeite de oliva extra virgem</t>
        </is>
      </c>
      <c r="Q9" t="inlineStr">
        <is>
          <t>Vegetais e Verduras|Café da manhã</t>
        </is>
      </c>
      <c r="R9" t="inlineStr">
        <is>
          <t>Vegetais e verduras em geral</t>
        </is>
      </c>
      <c r="T9" t="inlineStr">
        <is>
          <t>Gorduras e Temperos</t>
        </is>
      </c>
      <c r="U9" t="inlineStr">
        <is>
          <t>Vegetais e Verduras</t>
        </is>
      </c>
    </row>
    <row r="10">
      <c r="A10" t="inlineStr">
        <is>
          <t>Aveia integral em flocos</t>
        </is>
      </c>
      <c r="B10" t="inlineStr">
        <is>
          <t>Grãos e Cereais</t>
        </is>
      </c>
      <c r="C10" t="inlineStr">
        <is>
          <t>Liberado</t>
        </is>
      </c>
      <c r="D10" t="inlineStr">
        <is>
          <t>2 colheres de sopa (~30 g)</t>
        </is>
      </c>
      <c r="E10" t="inlineStr">
        <is>
          <t>1x/dia</t>
        </is>
      </c>
      <c r="F10" t="inlineStr">
        <is>
          <t>Rótulo real: 110 kcal, 2,8 g de fibra (1,2 g de beta-glucana — a fibra solúvel que ajuda a reduzir o colesterol), sem açúcar adicionado, 0 mg de sódio.</t>
        </is>
      </c>
      <c r="G10" t="inlineStr">
        <is>
          <t>X</t>
        </is>
      </c>
      <c r="H10" t="inlineStr"/>
      <c r="I10" t="inlineStr"/>
      <c r="J10" t="inlineStr"/>
      <c r="L10" t="inlineStr">
        <is>
          <t>Leite desnatado</t>
        </is>
      </c>
      <c r="M10" t="inlineStr">
        <is>
          <t>Creme de tahine</t>
        </is>
      </c>
      <c r="N10" t="inlineStr">
        <is>
          <t>Queijo frescal light</t>
        </is>
      </c>
      <c r="O10" t="inlineStr">
        <is>
          <t>Creme de tahine</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Queijo branco frescal</t>
        </is>
      </c>
      <c r="M11" t="inlineStr">
        <is>
          <t>Ervas e temperos naturais</t>
        </is>
      </c>
      <c r="N11" t="inlineStr">
        <is>
          <t>Iogurte natural (desnatado, sem açúcar)</t>
        </is>
      </c>
      <c r="O11" t="inlineStr">
        <is>
          <t>Ervas e temperos naturais</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Queijo frescal light</t>
        </is>
      </c>
      <c r="M12" t="inlineStr">
        <is>
          <t>Vegetais e verduras em geral</t>
        </is>
      </c>
      <c r="N12" t="inlineStr">
        <is>
          <t>Iogurte grego zero</t>
        </is>
      </c>
      <c r="O12" t="inlineStr">
        <is>
          <t>Vegetais e verduras em geral</t>
        </is>
      </c>
      <c r="Q12" t="inlineStr">
        <is>
          <t>Bebidas|Almoço</t>
        </is>
      </c>
      <c r="R12" t="inlineStr">
        <is>
          <t>Água</t>
        </is>
      </c>
    </row>
    <row r="13">
      <c r="A13" t="inlineStr">
        <is>
          <t>Granola zero açúcar</t>
        </is>
      </c>
      <c r="B13" t="inlineStr">
        <is>
          <t>Grãos e Cereais</t>
        </is>
      </c>
      <c r="C13" t="inlineStr">
        <is>
          <t>Liberado</t>
        </is>
      </c>
      <c r="D13" t="inlineStr">
        <is>
          <t>20 g (1 colher de sopa)</t>
        </is>
      </c>
      <c r="E13" t="inlineStr">
        <is>
          <t>1x/dia</t>
        </is>
      </c>
      <c r="F13"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c r="G13" t="inlineStr">
        <is>
          <t>X</t>
        </is>
      </c>
      <c r="H13" t="inlineStr"/>
      <c r="I13" t="inlineStr">
        <is>
          <t>X</t>
        </is>
      </c>
      <c r="J13" t="inlineStr"/>
      <c r="L13" t="inlineStr">
        <is>
          <t>Iogurte natural (desnatado, sem açúcar)</t>
        </is>
      </c>
      <c r="M13" t="inlineStr">
        <is>
          <t>Brócolis</t>
        </is>
      </c>
      <c r="N13" t="inlineStr">
        <is>
          <t>Água</t>
        </is>
      </c>
      <c r="O13" t="inlineStr">
        <is>
          <t>Brócolis</t>
        </is>
      </c>
      <c r="Q13" t="inlineStr">
        <is>
          <t>Doces e Sobremesas|Almoço</t>
        </is>
      </c>
      <c r="R13" t="inlineStr">
        <is>
          <t>Açúcar refinado</t>
        </is>
      </c>
    </row>
    <row r="14">
      <c r="A14" t="inlineStr">
        <is>
          <t>Peixe</t>
        </is>
      </c>
      <c r="B14" t="inlineStr">
        <is>
          <t>Proteínas</t>
        </is>
      </c>
      <c r="C14" t="inlineStr">
        <is>
          <t>Liberado</t>
        </is>
      </c>
      <c r="D14" t="inlineStr">
        <is>
          <t>150 g</t>
        </is>
      </c>
      <c r="E14" t="inlineStr">
        <is>
          <t>3x/semana</t>
        </is>
      </c>
      <c r="F14" t="inlineStr">
        <is>
          <t>Fonte de ômega-3</t>
        </is>
      </c>
      <c r="G14" t="inlineStr"/>
      <c r="H14" t="inlineStr">
        <is>
          <t>X</t>
        </is>
      </c>
      <c r="I14" t="inlineStr"/>
      <c r="J14" t="inlineStr">
        <is>
          <t>X</t>
        </is>
      </c>
      <c r="L14" t="inlineStr">
        <is>
          <t>Iogurte grego zero</t>
        </is>
      </c>
      <c r="M14" t="inlineStr">
        <is>
          <t>Couve</t>
        </is>
      </c>
      <c r="N14" t="inlineStr">
        <is>
          <t>Café sem açúcar</t>
        </is>
      </c>
      <c r="O14" t="inlineStr">
        <is>
          <t>Couve</t>
        </is>
      </c>
      <c r="Q14" t="inlineStr">
        <is>
          <t>Gorduras e Temperos|Almoço</t>
        </is>
      </c>
      <c r="R14" t="inlineStr">
        <is>
          <t>Azeite de oliva extra virgem</t>
        </is>
      </c>
    </row>
    <row r="15">
      <c r="A15" t="inlineStr">
        <is>
          <t>Sashimi de salmão</t>
        </is>
      </c>
      <c r="B15" t="inlineStr">
        <is>
          <t>Proteínas</t>
        </is>
      </c>
      <c r="C15" t="inlineStr">
        <is>
          <t>Liberado</t>
        </is>
      </c>
      <c r="D15" t="inlineStr">
        <is>
          <t>150 g (6-8 fatias)</t>
        </is>
      </c>
      <c r="E15" t="inlineStr">
        <is>
          <t>1-2x/semana</t>
        </is>
      </c>
      <c r="F15" t="inlineStr">
        <is>
          <t>Peixe cru, sem arroz — mesma fonte de ômega-3 do peixe grelhado, conta na mesma cota semanal de peixe. Cuidado é só com o shoyu (molho de soja) do acompanhamento, rico em sódio: usar pouco. Sugestão gerada por IA — confirmar com nutricionista/cardiologista.</t>
        </is>
      </c>
      <c r="G15" t="inlineStr"/>
      <c r="H15" t="inlineStr">
        <is>
          <t>X</t>
        </is>
      </c>
      <c r="I15" t="inlineStr"/>
      <c r="J15" t="inlineStr">
        <is>
          <t>X</t>
        </is>
      </c>
      <c r="L15" t="inlineStr">
        <is>
          <t>Água</t>
        </is>
      </c>
      <c r="M15" t="inlineStr">
        <is>
          <t>Espinafre</t>
        </is>
      </c>
      <c r="N15" t="inlineStr">
        <is>
          <t>Creme de tahine</t>
        </is>
      </c>
      <c r="O15" t="inlineStr">
        <is>
          <t>Espinafre</t>
        </is>
      </c>
      <c r="Q15" t="inlineStr">
        <is>
          <t>Vegetais e Verduras|Almoço</t>
        </is>
      </c>
      <c r="R15" t="inlineStr">
        <is>
          <t>Vegetais e verduras em geral</t>
        </is>
      </c>
    </row>
    <row r="16">
      <c r="A16" t="inlineStr">
        <is>
          <t>Sushi de salmão</t>
        </is>
      </c>
      <c r="B16" t="inlineStr">
        <is>
          <t>Proteínas</t>
        </is>
      </c>
      <c r="C16" t="inlineStr">
        <is>
          <t>Moderar</t>
        </is>
      </c>
      <c r="D16" t="inlineStr">
        <is>
          <t>8-10 peças (nigiri/hossomaki)</t>
        </is>
      </c>
      <c r="E16" t="inlineStr">
        <is>
          <t>1x/semana</t>
        </is>
      </c>
      <c r="F16" t="inlineStr">
        <is>
          <t>Além do peixe, leva arroz temperado com açúcar/vinagre — mais carboidrato e um pouco de açúcar adicionado que o sashimi puro. Evitar versões com tempurá, cream cheese ou molhos cremosos/apimentados (mais gordura, sódio e calorias); usar pouco shoyu (sódio). Sugestão gerada por IA — confirmar com nutricionista/cardiologista.</t>
        </is>
      </c>
      <c r="G16" t="inlineStr"/>
      <c r="H16" t="inlineStr">
        <is>
          <t>X</t>
        </is>
      </c>
      <c r="I16" t="inlineStr"/>
      <c r="J16" t="inlineStr">
        <is>
          <t>X</t>
        </is>
      </c>
      <c r="L16" t="inlineStr">
        <is>
          <t>Café sem açúcar</t>
        </is>
      </c>
      <c r="M16" t="inlineStr">
        <is>
          <t>Tomate</t>
        </is>
      </c>
      <c r="N16" t="inlineStr">
        <is>
          <t>Vegetais e verduras em geral</t>
        </is>
      </c>
      <c r="O16" t="inlineStr">
        <is>
          <t>Tomate</t>
        </is>
      </c>
      <c r="Q16" t="inlineStr">
        <is>
          <t>Frutas|Lanche</t>
        </is>
      </c>
      <c r="R16" t="inlineStr">
        <is>
          <t>Maçã fuji (com casca)</t>
        </is>
      </c>
    </row>
    <row r="17">
      <c r="A17" t="inlineStr">
        <is>
          <t>Frango sem pele</t>
        </is>
      </c>
      <c r="B17" t="inlineStr">
        <is>
          <t>Proteínas</t>
        </is>
      </c>
      <c r="C17" t="inlineStr">
        <is>
          <t>Liberado</t>
        </is>
      </c>
      <c r="D17" t="inlineStr">
        <is>
          <t>150 g</t>
        </is>
      </c>
      <c r="E17" t="inlineStr">
        <is>
          <t>quase todo dia</t>
        </is>
      </c>
      <c r="F17" t="inlineStr"/>
      <c r="G17" t="inlineStr"/>
      <c r="H17" t="inlineStr">
        <is>
          <t>X</t>
        </is>
      </c>
      <c r="I17" t="inlineStr"/>
      <c r="J17" t="inlineStr">
        <is>
          <t>X</t>
        </is>
      </c>
      <c r="L17" t="inlineStr">
        <is>
          <t>Creme de tahine</t>
        </is>
      </c>
      <c r="M17" t="inlineStr">
        <is>
          <t>Cenoura</t>
        </is>
      </c>
      <c r="N17" t="inlineStr">
        <is>
          <t>Tomate</t>
        </is>
      </c>
      <c r="O17" t="inlineStr">
        <is>
          <t>Cenoura</t>
        </is>
      </c>
      <c r="Q17" t="inlineStr">
        <is>
          <t>Grãos e Cereais|Lanche</t>
        </is>
      </c>
      <c r="R17" t="inlineStr">
        <is>
          <t>Pão de forma integral</t>
        </is>
      </c>
    </row>
    <row r="18">
      <c r="A18" t="inlineStr">
        <is>
          <t>Carne vermelha magra</t>
        </is>
      </c>
      <c r="B18" t="inlineStr">
        <is>
          <t>Proteínas</t>
        </is>
      </c>
      <c r="C18" t="inlineStr">
        <is>
          <t>Moderar</t>
        </is>
      </c>
      <c r="D18" t="inlineStr">
        <is>
          <t>150 g</t>
        </is>
      </c>
      <c r="E18" t="inlineStr">
        <is>
          <t>1x/semana</t>
        </is>
      </c>
      <c r="F18" t="inlineStr">
        <is>
          <t>Preferir cortes magros</t>
        </is>
      </c>
      <c r="G18" t="inlineStr"/>
      <c r="H18" t="inlineStr">
        <is>
          <t>X</t>
        </is>
      </c>
      <c r="I18" t="inlineStr"/>
      <c r="J18" t="inlineStr">
        <is>
          <t>X</t>
        </is>
      </c>
      <c r="L18" t="inlineStr">
        <is>
          <t>Vegetais e verduras em geral</t>
        </is>
      </c>
      <c r="M18" t="inlineStr">
        <is>
          <t>Abobrinha</t>
        </is>
      </c>
      <c r="N18" t="inlineStr">
        <is>
          <t>Cenoura</t>
        </is>
      </c>
      <c r="O18" t="inlineStr">
        <is>
          <t>Abobrinha</t>
        </is>
      </c>
      <c r="Q18" t="inlineStr">
        <is>
          <t>Laticínios|Lanche</t>
        </is>
      </c>
      <c r="R18" t="inlineStr">
        <is>
          <t>Leite desnatado</t>
        </is>
      </c>
    </row>
    <row r="19">
      <c r="A19" t="inlineStr">
        <is>
          <t>Ovo</t>
        </is>
      </c>
      <c r="B19" t="inlineStr">
        <is>
          <t>Proteínas</t>
        </is>
      </c>
      <c r="C19" t="inlineStr">
        <is>
          <t>Liberado</t>
        </is>
      </c>
      <c r="D19" t="inlineStr">
        <is>
          <t>1 unidade</t>
        </is>
      </c>
      <c r="E19" t="inlineStr">
        <is>
          <t>até 5x/semana</t>
        </is>
      </c>
      <c r="F19" t="inlineStr"/>
      <c r="G19" t="inlineStr">
        <is>
          <t>X</t>
        </is>
      </c>
      <c r="H19" t="inlineStr">
        <is>
          <t>X</t>
        </is>
      </c>
      <c r="I19" t="inlineStr"/>
      <c r="J19" t="inlineStr">
        <is>
          <t>X</t>
        </is>
      </c>
      <c r="L19" t="inlineStr">
        <is>
          <t>Tomate</t>
        </is>
      </c>
      <c r="M19" t="inlineStr">
        <is>
          <t>Beterraba</t>
        </is>
      </c>
      <c r="N19" t="inlineStr">
        <is>
          <t>Alface e folhas verdes (rúcula, agrião)</t>
        </is>
      </c>
      <c r="O19" t="inlineStr">
        <is>
          <t>Beterraba</t>
        </is>
      </c>
      <c r="Q19" t="inlineStr">
        <is>
          <t>Bebidas|Lanche</t>
        </is>
      </c>
      <c r="R19" t="inlineStr">
        <is>
          <t>Água</t>
        </is>
      </c>
    </row>
    <row r="20">
      <c r="A20" t="inlineStr">
        <is>
          <t>Feijão / leguminosas</t>
        </is>
      </c>
      <c r="B20" t="inlineStr">
        <is>
          <t>Proteínas</t>
        </is>
      </c>
      <c r="C20" t="inlineStr">
        <is>
          <t>Liberado</t>
        </is>
      </c>
      <c r="D20" t="inlineStr">
        <is>
          <t>1 concha</t>
        </is>
      </c>
      <c r="E20" t="inlineStr">
        <is>
          <t>1x/dia</t>
        </is>
      </c>
      <c r="F20" t="inlineStr"/>
      <c r="G20" t="inlineStr"/>
      <c r="H20" t="inlineStr">
        <is>
          <t>X</t>
        </is>
      </c>
      <c r="I20" t="inlineStr"/>
      <c r="J20" t="inlineStr">
        <is>
          <t>X</t>
        </is>
      </c>
      <c r="L20" t="inlineStr">
        <is>
          <t>Uva</t>
        </is>
      </c>
      <c r="M20" t="inlineStr">
        <is>
          <t>Alface e folhas verdes (rúcula, agrião)</t>
        </is>
      </c>
      <c r="N20" t="inlineStr">
        <is>
          <t>Pepino</t>
        </is>
      </c>
      <c r="O20" t="inlineStr">
        <is>
          <t>Alface e folhas verdes (rúcula, agrião)</t>
        </is>
      </c>
      <c r="Q20" t="inlineStr">
        <is>
          <t>Doces e Sobremesas|Lanche</t>
        </is>
      </c>
      <c r="R20" t="inlineStr">
        <is>
          <t>Açúcar refinado</t>
        </is>
      </c>
    </row>
    <row r="21">
      <c r="A21" t="inlineStr">
        <is>
          <t>Kare (curry japonês) com lombo de porco</t>
        </is>
      </c>
      <c r="B21" t="inlineStr">
        <is>
          <t>Proteínas</t>
        </is>
      </c>
      <c r="C21" t="inlineStr">
        <is>
          <t>Moderar</t>
        </is>
      </c>
      <c r="D21" t="inlineStr">
        <is>
          <t>1 concha (150-200 g do preparo, sem contar o arroz)</t>
        </is>
      </c>
      <c r="E21" t="inlineStr">
        <is>
          <t>1x/semana</t>
        </is>
      </c>
      <c r="F21" t="inlineStr">
        <is>
          <t>O tablete de curry (roux) pronto costuma ser rico em sódio e conter gordura saturada (geralmente óleo de palma) na sua composição, além de ser espessado com farinha de trigo — é o principal ponto de atenção do prato, não o lombo suíno (corte magro) nem os vegetais (batata, cenoura, cebola). Preferir marcas com menos sódio por porção, se o rótulo estiver disponível. Sugestão gerada por IA — confirmar com nutricionista/cardiologista.</t>
        </is>
      </c>
      <c r="G21" t="inlineStr"/>
      <c r="H21" t="inlineStr">
        <is>
          <t>X</t>
        </is>
      </c>
      <c r="I21" t="inlineStr"/>
      <c r="J21" t="inlineStr">
        <is>
          <t>X</t>
        </is>
      </c>
      <c r="L21" t="inlineStr">
        <is>
          <t>Manga</t>
        </is>
      </c>
      <c r="M21" t="inlineStr">
        <is>
          <t>Pepino</t>
        </is>
      </c>
      <c r="N21" t="inlineStr">
        <is>
          <t>Pimentão</t>
        </is>
      </c>
      <c r="O21" t="inlineStr">
        <is>
          <t>Pepino</t>
        </is>
      </c>
      <c r="Q21" t="inlineStr">
        <is>
          <t>Gorduras e Temperos|Lanche</t>
        </is>
      </c>
      <c r="R21" t="inlineStr">
        <is>
          <t>Creme de tahine</t>
        </is>
      </c>
    </row>
    <row r="22">
      <c r="A22" t="inlineStr">
        <is>
          <t>Leite desnatado</t>
        </is>
      </c>
      <c r="B22" t="inlineStr">
        <is>
          <t>Laticínios</t>
        </is>
      </c>
      <c r="C22" t="inlineStr">
        <is>
          <t>Liberado</t>
        </is>
      </c>
      <c r="D22" t="inlineStr">
        <is>
          <t>200 ml</t>
        </is>
      </c>
      <c r="E22" t="inlineStr">
        <is>
          <t>1x/dia</t>
        </is>
      </c>
      <c r="F22" t="inlineStr"/>
      <c r="G22" t="inlineStr">
        <is>
          <t>X</t>
        </is>
      </c>
      <c r="H22" t="inlineStr"/>
      <c r="I22" t="inlineStr">
        <is>
          <t>X</t>
        </is>
      </c>
      <c r="J22" t="inlineStr"/>
      <c r="L22" t="inlineStr">
        <is>
          <t>Mussarela</t>
        </is>
      </c>
      <c r="M22" t="inlineStr">
        <is>
          <t>Berinjela</t>
        </is>
      </c>
      <c r="N22" t="inlineStr">
        <is>
          <t>Uva</t>
        </is>
      </c>
      <c r="O22" t="inlineStr">
        <is>
          <t>Berinjela</t>
        </is>
      </c>
      <c r="Q22" t="inlineStr">
        <is>
          <t>Vegetais e Verduras|Lanche</t>
        </is>
      </c>
      <c r="R22" t="inlineStr">
        <is>
          <t>Vegetais e verduras em geral</t>
        </is>
      </c>
    </row>
    <row r="23">
      <c r="A23" t="inlineStr">
        <is>
          <t>Queijo branco frescal</t>
        </is>
      </c>
      <c r="B23" t="inlineStr">
        <is>
          <t>Laticínios</t>
        </is>
      </c>
      <c r="C23" t="inlineStr">
        <is>
          <t>Liberado</t>
        </is>
      </c>
      <c r="D23" t="inlineStr">
        <is>
          <t>30 g</t>
        </is>
      </c>
      <c r="E23" t="inlineStr">
        <is>
          <t>3x/semana</t>
        </is>
      </c>
      <c r="F23" t="inlineStr">
        <is>
          <t>Tipo fresco (ex.: Minas frescal), sem cura/salga pesada — bem menos sódio e gordura que queijos curados. Sugestão gerada por IA — confirmar com nutricionista/cardiologista.</t>
        </is>
      </c>
      <c r="G23" t="inlineStr">
        <is>
          <t>X</t>
        </is>
      </c>
      <c r="H23" t="inlineStr"/>
      <c r="I23" t="inlineStr">
        <is>
          <t>X</t>
        </is>
      </c>
      <c r="J23" t="inlineStr"/>
      <c r="L23" t="inlineStr">
        <is>
          <t>Requeijão</t>
        </is>
      </c>
      <c r="M23" t="inlineStr">
        <is>
          <t>Pimentão</t>
        </is>
      </c>
      <c r="N23" t="inlineStr">
        <is>
          <t>Manga</t>
        </is>
      </c>
      <c r="O23" t="inlineStr">
        <is>
          <t>Pimentão</t>
        </is>
      </c>
      <c r="Q23" t="inlineStr">
        <is>
          <t>Grãos e Cereais|Jantar</t>
        </is>
      </c>
      <c r="R23" t="inlineStr">
        <is>
          <t>Arroz integral</t>
        </is>
      </c>
    </row>
    <row r="24">
      <c r="A24" t="inlineStr">
        <is>
          <t>Queijo frescal light</t>
        </is>
      </c>
      <c r="B24" t="inlineStr">
        <is>
          <t>Laticínios</t>
        </is>
      </c>
      <c r="C24" t="inlineStr">
        <is>
          <t>Liberado</t>
        </is>
      </c>
      <c r="D24" t="inlineStr">
        <is>
          <t>30 g (1 fatia)</t>
        </is>
      </c>
      <c r="E24" t="inlineStr">
        <is>
          <t>3x/semana</t>
        </is>
      </c>
      <c r="F24" t="inlineStr">
        <is>
          <t>Rótulo real: 41 kcal e 105 mg de sódio por porção (bem abaixo de queijos comuns), 1,5 g de gordura saturada, sem açúcar adicionado. Contém lactose; sem glúten; pode conter soja.</t>
        </is>
      </c>
      <c r="G24" t="inlineStr">
        <is>
          <t>X</t>
        </is>
      </c>
      <c r="H24" t="inlineStr"/>
      <c r="I24" t="inlineStr">
        <is>
          <t>X</t>
        </is>
      </c>
      <c r="J24" t="inlineStr"/>
      <c r="L24" t="inlineStr">
        <is>
          <t>Cream cheese light</t>
        </is>
      </c>
      <c r="M24" t="inlineStr">
        <is>
          <t>Repolho</t>
        </is>
      </c>
      <c r="N24" t="inlineStr">
        <is>
          <t>Mussarela</t>
        </is>
      </c>
      <c r="O24" t="inlineStr">
        <is>
          <t>Repolho</t>
        </is>
      </c>
      <c r="Q24" t="inlineStr">
        <is>
          <t>Proteínas|Jantar</t>
        </is>
      </c>
      <c r="R24" t="inlineStr">
        <is>
          <t>Peixe</t>
        </is>
      </c>
    </row>
    <row r="25">
      <c r="A25" t="inlineStr">
        <is>
          <t>Mussarela</t>
        </is>
      </c>
      <c r="B25" t="inlineStr">
        <is>
          <t>Laticínios</t>
        </is>
      </c>
      <c r="C25" t="inlineStr">
        <is>
          <t>Moderar</t>
        </is>
      </c>
      <c r="D25" t="inlineStr">
        <is>
          <t>30 g</t>
        </is>
      </c>
      <c r="E25" t="inlineStr">
        <is>
          <t>2x/semana</t>
        </is>
      </c>
      <c r="F25" t="inlineStr">
        <is>
          <t>Mais gordura saturada e sódio que o queijo branco frescal; prefira o frescal no dia a dia. Sugestão gerada por IA — confirmar com nutricionista/cardiologista.</t>
        </is>
      </c>
      <c r="G25" t="inlineStr">
        <is>
          <t>X</t>
        </is>
      </c>
      <c r="H25" t="inlineStr"/>
      <c r="I25" t="inlineStr">
        <is>
          <t>X</t>
        </is>
      </c>
      <c r="J25" t="inlineStr"/>
      <c r="L25" t="inlineStr">
        <is>
          <t>Suco natural sem açúcar</t>
        </is>
      </c>
      <c r="M25" t="inlineStr">
        <is>
          <t>Arroz branco</t>
        </is>
      </c>
      <c r="N25" t="inlineStr">
        <is>
          <t>Requeijão</t>
        </is>
      </c>
      <c r="O25" t="inlineStr">
        <is>
          <t>Arroz branco</t>
        </is>
      </c>
      <c r="Q25" t="inlineStr">
        <is>
          <t>Bebidas|Jantar</t>
        </is>
      </c>
      <c r="R25" t="inlineStr">
        <is>
          <t>Água</t>
        </is>
      </c>
    </row>
    <row r="26">
      <c r="A26" t="inlineStr">
        <is>
          <t>Iogurte natural (desnatado, sem açúcar)</t>
        </is>
      </c>
      <c r="B26" t="inlineStr">
        <is>
          <t>Laticínios</t>
        </is>
      </c>
      <c r="C26" t="inlineStr">
        <is>
          <t>Liberado</t>
        </is>
      </c>
      <c r="D26" t="inlineStr">
        <is>
          <t>1 unidade</t>
        </is>
      </c>
      <c r="E26" t="inlineStr">
        <is>
          <t>1x/dia</t>
        </is>
      </c>
      <c r="F26" t="inlineStr">
        <is>
          <t>Prefira sempre a versão sem açúcar adicionado</t>
        </is>
      </c>
      <c r="G26" t="inlineStr">
        <is>
          <t>X</t>
        </is>
      </c>
      <c r="H26" t="inlineStr"/>
      <c r="I26" t="inlineStr">
        <is>
          <t>X</t>
        </is>
      </c>
      <c r="J26" t="inlineStr"/>
      <c r="L26" t="inlineStr">
        <is>
          <t>Toranja / grapefruit</t>
        </is>
      </c>
      <c r="M26" t="inlineStr">
        <is>
          <t>Sushi de salmão</t>
        </is>
      </c>
      <c r="N26" t="inlineStr">
        <is>
          <t>Cream cheese light</t>
        </is>
      </c>
      <c r="O26" t="inlineStr">
        <is>
          <t>Sushi de salmão</t>
        </is>
      </c>
      <c r="Q26" t="inlineStr">
        <is>
          <t>Doces e Sobremesas|Jantar</t>
        </is>
      </c>
      <c r="R26" t="inlineStr">
        <is>
          <t>Açúcar refinado</t>
        </is>
      </c>
    </row>
    <row r="27">
      <c r="A27" t="inlineStr">
        <is>
          <t>Iogurte grego zero</t>
        </is>
      </c>
      <c r="B27" t="inlineStr">
        <is>
          <t>Laticínios</t>
        </is>
      </c>
      <c r="C27" t="inlineStr">
        <is>
          <t>Liberado</t>
        </is>
      </c>
      <c r="D27" t="inlineStr">
        <is>
          <t>90 g (1 pote)</t>
        </is>
      </c>
      <c r="E27" t="inlineStr">
        <is>
          <t>1x/dia</t>
        </is>
      </c>
      <c r="F27" t="inlineStr">
        <is>
          <t>Rótulo real: 50 kcal, 6,8 g de proteína (bem mais que iogurte comum), 0,2 g de gordura, 51 mg de sódio, zero adição de açúcar/gordura, sem lactose. Contém edulcorantes (sucralose e ciclamato).</t>
        </is>
      </c>
      <c r="G27" t="inlineStr">
        <is>
          <t>X</t>
        </is>
      </c>
      <c r="H27" t="inlineStr"/>
      <c r="I27" t="inlineStr">
        <is>
          <t>X</t>
        </is>
      </c>
      <c r="J27" t="inlineStr"/>
      <c r="L27" t="inlineStr">
        <is>
          <t>Suco de toranja / grapefruit</t>
        </is>
      </c>
      <c r="M27" t="inlineStr">
        <is>
          <t>Carne vermelha magra</t>
        </is>
      </c>
      <c r="N27" t="inlineStr">
        <is>
          <t>Refrigerante zero</t>
        </is>
      </c>
      <c r="O27" t="inlineStr">
        <is>
          <t>Carne vermelha magra</t>
        </is>
      </c>
      <c r="Q27" t="inlineStr">
        <is>
          <t>Gorduras e Temperos|Jantar</t>
        </is>
      </c>
      <c r="R27" t="inlineStr">
        <is>
          <t>Azeite de oliva extra virgem</t>
        </is>
      </c>
    </row>
    <row r="28">
      <c r="A28" t="inlineStr">
        <is>
          <t>Requeijão</t>
        </is>
      </c>
      <c r="B28" t="inlineStr">
        <is>
          <t>Laticínios</t>
        </is>
      </c>
      <c r="C28" t="inlineStr">
        <is>
          <t>Moderar</t>
        </is>
      </c>
      <c r="D28" t="inlineStr">
        <is>
          <t>1 colher de sopa (≈15 g)</t>
        </is>
      </c>
      <c r="E28" t="inlineStr">
        <is>
          <t>2x/semana</t>
        </is>
      </c>
      <c r="F28" t="inlineStr">
        <is>
          <t>Rico em gordura saturada e sódio; prefira a versão light. Sugestão gerada por IA — confirmar com nutricionista/cardiologista.</t>
        </is>
      </c>
      <c r="G28" t="inlineStr">
        <is>
          <t>X</t>
        </is>
      </c>
      <c r="H28" t="inlineStr"/>
      <c r="I28" t="inlineStr">
        <is>
          <t>X</t>
        </is>
      </c>
      <c r="J28" t="inlineStr"/>
      <c r="L28" t="inlineStr">
        <is>
          <t>Açúcar refinado</t>
        </is>
      </c>
      <c r="M28" t="inlineStr">
        <is>
          <t>Kare (curry japonês) com lombo de porco</t>
        </is>
      </c>
      <c r="N28" t="inlineStr">
        <is>
          <t>Suco natural sem açúcar</t>
        </is>
      </c>
      <c r="O28" t="inlineStr">
        <is>
          <t>Kare (curry japonês) com lombo de porco</t>
        </is>
      </c>
      <c r="Q28" t="inlineStr">
        <is>
          <t>Vegetais e Verduras|Jantar</t>
        </is>
      </c>
      <c r="R28" t="inlineStr">
        <is>
          <t>Vegetais e verduras em geral</t>
        </is>
      </c>
    </row>
    <row r="29">
      <c r="A29" t="inlineStr">
        <is>
          <t>Cream cheese light</t>
        </is>
      </c>
      <c r="B29" t="inlineStr">
        <is>
          <t>Laticínios</t>
        </is>
      </c>
      <c r="C29" t="inlineStr">
        <is>
          <t>Moderar</t>
        </is>
      </c>
      <c r="D29" t="inlineStr">
        <is>
          <t>1 colher de sopa (30 g)</t>
        </is>
      </c>
      <c r="E29" t="inlineStr">
        <is>
          <t>2x/semana</t>
        </is>
      </c>
      <c r="F29" t="inlineStr">
        <is>
          <t>Rótulo real (30 g): 63 kcal, 3,5 g de gordura saturada e 0,1 g de gordura trans (mesmo sendo 'light', é bastante gordura saturada para uma porção — quase 30% do limite diário recomendado num plano de 2000 kcal), 115 mg de sódio, 1,1 g de açúcar (sem açúcar adicionado). Ingredientes: leite integral, creme de leite, leite em pó desnatado, sal, fermento lático, espessantes (goma jataí, carragena), conservador sorbato de potássio (não é o mesmo que sal light/cloreto de potássio — sem interação com o Enalapril). Sugestão gerada por IA — confirmar com nutricionista/cardiologista.</t>
        </is>
      </c>
      <c r="G29" t="inlineStr">
        <is>
          <t>X</t>
        </is>
      </c>
      <c r="H29" t="inlineStr"/>
      <c r="I29" t="inlineStr">
        <is>
          <t>X</t>
        </is>
      </c>
      <c r="J29" t="inlineStr"/>
      <c r="L29" t="inlineStr">
        <is>
          <t>Manteiga</t>
        </is>
      </c>
      <c r="M29" t="inlineStr">
        <is>
          <t>Refrigerante zero</t>
        </is>
      </c>
      <c r="N29" t="inlineStr">
        <is>
          <t>Chocolate amargo (70%+)</t>
        </is>
      </c>
      <c r="O29" t="inlineStr">
        <is>
          <t>Refrigerante zero</t>
        </is>
      </c>
    </row>
    <row r="30">
      <c r="A30" t="inlineStr">
        <is>
          <t>Água</t>
        </is>
      </c>
      <c r="B30" t="inlineStr">
        <is>
          <t>Bebidas</t>
        </is>
      </c>
      <c r="C30" t="inlineStr">
        <is>
          <t>Liberado</t>
        </is>
      </c>
      <c r="D30" t="inlineStr">
        <is>
          <t>à vontade</t>
        </is>
      </c>
      <c r="E30" t="inlineStr">
        <is>
          <t>todos os dias</t>
        </is>
      </c>
      <c r="F30" t="inlineStr"/>
      <c r="G30" t="inlineStr">
        <is>
          <t>X</t>
        </is>
      </c>
      <c r="H30" t="inlineStr">
        <is>
          <t>X</t>
        </is>
      </c>
      <c r="I30" t="inlineStr">
        <is>
          <t>X</t>
        </is>
      </c>
      <c r="J30" t="inlineStr">
        <is>
          <t>X</t>
        </is>
      </c>
      <c r="M30" t="inlineStr">
        <is>
          <t>Sal</t>
        </is>
      </c>
      <c r="N30" t="inlineStr">
        <is>
          <t>Toranja / grapefruit</t>
        </is>
      </c>
      <c r="O30" t="inlineStr">
        <is>
          <t>Sal</t>
        </is>
      </c>
    </row>
    <row r="31">
      <c r="A31" t="inlineStr">
        <is>
          <t>Refrigerante zero</t>
        </is>
      </c>
      <c r="B31" t="inlineStr">
        <is>
          <t>Bebidas</t>
        </is>
      </c>
      <c r="C31" t="inlineStr">
        <is>
          <t>Moderar</t>
        </is>
      </c>
      <c r="D31" t="inlineStr">
        <is>
          <t>200 ml</t>
        </is>
      </c>
      <c r="E31" t="inlineStr">
        <is>
          <t>1x/dia</t>
        </is>
      </c>
      <c r="F31" t="inlineStr">
        <is>
          <t>Sugestão gerada por IA — confirmar com nutricionista/cardiologista</t>
        </is>
      </c>
      <c r="G31" t="inlineStr"/>
      <c r="H31" t="inlineStr">
        <is>
          <t>X</t>
        </is>
      </c>
      <c r="I31" t="inlineStr">
        <is>
          <t>X</t>
        </is>
      </c>
      <c r="J31" t="inlineStr">
        <is>
          <t>X</t>
        </is>
      </c>
      <c r="M31" t="inlineStr">
        <is>
          <t>Bebida alcoólica</t>
        </is>
      </c>
      <c r="N31" t="inlineStr">
        <is>
          <t>Suco de toranja / grapefruit</t>
        </is>
      </c>
      <c r="O31" t="inlineStr">
        <is>
          <t>Bebida alcoólica</t>
        </is>
      </c>
    </row>
    <row r="32">
      <c r="A32" t="inlineStr">
        <is>
          <t>Café sem açúcar</t>
        </is>
      </c>
      <c r="B32" t="inlineStr">
        <is>
          <t>Bebidas</t>
        </is>
      </c>
      <c r="C32" t="inlineStr">
        <is>
          <t>Liberado</t>
        </is>
      </c>
      <c r="D32" t="inlineStr">
        <is>
          <t>1 xícara</t>
        </is>
      </c>
      <c r="E32" t="inlineStr">
        <is>
          <t>2x/dia</t>
        </is>
      </c>
      <c r="F32" t="inlineStr"/>
      <c r="G32" t="inlineStr">
        <is>
          <t>X</t>
        </is>
      </c>
      <c r="H32" t="inlineStr"/>
      <c r="I32" t="inlineStr">
        <is>
          <t>X</t>
        </is>
      </c>
      <c r="J32" t="inlineStr"/>
      <c r="M32" t="inlineStr">
        <is>
          <t>Açúcar refinado</t>
        </is>
      </c>
      <c r="N32" t="inlineStr">
        <is>
          <t>Açúcar refinado</t>
        </is>
      </c>
      <c r="O32" t="inlineStr">
        <is>
          <t>Açúcar refinado</t>
        </is>
      </c>
    </row>
    <row r="33">
      <c r="A33" t="inlineStr">
        <is>
          <t>Suco natural sem açúcar</t>
        </is>
      </c>
      <c r="B33" t="inlineStr">
        <is>
          <t>Bebidas</t>
        </is>
      </c>
      <c r="C33" t="inlineStr">
        <is>
          <t>Moderar</t>
        </is>
      </c>
      <c r="D33" t="inlineStr">
        <is>
          <t>200 ml</t>
        </is>
      </c>
      <c r="E33" t="inlineStr">
        <is>
          <t>3x/semana</t>
        </is>
      </c>
      <c r="F33" t="inlineStr">
        <is>
          <t>Preferir a fruta inteira, que tem mais fibra</t>
        </is>
      </c>
      <c r="G33" t="inlineStr">
        <is>
          <t>X</t>
        </is>
      </c>
      <c r="H33" t="inlineStr"/>
      <c r="I33" t="inlineStr">
        <is>
          <t>X</t>
        </is>
      </c>
      <c r="J33" t="inlineStr"/>
      <c r="M33" t="inlineStr">
        <is>
          <t>Sal light / substituto de sal (cloreto de potássio)</t>
        </is>
      </c>
      <c r="N33" t="inlineStr">
        <is>
          <t>Doces industrializados</t>
        </is>
      </c>
      <c r="O33" t="inlineStr">
        <is>
          <t>Sal light / substituto de sal (cloreto de potássio)</t>
        </is>
      </c>
    </row>
    <row r="34">
      <c r="A34" t="inlineStr">
        <is>
          <t>Suco de toranja / grapefruit</t>
        </is>
      </c>
      <c r="B34" t="inlineStr">
        <is>
          <t>Bebidas</t>
        </is>
      </c>
      <c r="C34" t="inlineStr">
        <is>
          <t>Evitar</t>
        </is>
      </c>
      <c r="D34" t="inlineStr">
        <is>
          <t>-</t>
        </is>
      </c>
      <c r="E34" t="inlineStr">
        <is>
          <t>evitar</t>
        </is>
      </c>
      <c r="F34"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34" t="inlineStr">
        <is>
          <t>X</t>
        </is>
      </c>
      <c r="H34" t="inlineStr"/>
      <c r="I34" t="inlineStr">
        <is>
          <t>X</t>
        </is>
      </c>
      <c r="J34" t="inlineStr"/>
    </row>
    <row r="35">
      <c r="A35" t="inlineStr">
        <is>
          <t>Bebida alcoólica</t>
        </is>
      </c>
      <c r="B35" t="inlineStr">
        <is>
          <t>Bebidas</t>
        </is>
      </c>
      <c r="C35" t="inlineStr">
        <is>
          <t>Evitar</t>
        </is>
      </c>
      <c r="D35" t="inlineStr">
        <is>
          <t>-</t>
        </is>
      </c>
      <c r="E35" t="inlineStr">
        <is>
          <t>evitar</t>
        </is>
      </c>
      <c r="F35" t="inlineStr">
        <is>
          <t>Piora diretamente os triglicerídeos; soma-se ao risco de sangramento da Aspirina + Ticagrelor.</t>
        </is>
      </c>
      <c r="G35" t="inlineStr"/>
      <c r="H35" t="inlineStr">
        <is>
          <t>X</t>
        </is>
      </c>
      <c r="I35" t="inlineStr"/>
      <c r="J35" t="inlineStr">
        <is>
          <t>X</t>
        </is>
      </c>
    </row>
    <row r="36">
      <c r="A36" t="inlineStr">
        <is>
          <t>Açúcar refinado</t>
        </is>
      </c>
      <c r="B36" t="inlineStr">
        <is>
          <t>Doces e Sobremesas</t>
        </is>
      </c>
      <c r="C36" t="inlineStr">
        <is>
          <t>Evitar</t>
        </is>
      </c>
      <c r="D36" t="inlineStr">
        <is>
          <t>-</t>
        </is>
      </c>
      <c r="E36" t="inlineStr">
        <is>
          <t>evitar</t>
        </is>
      </c>
      <c r="F36" t="inlineStr">
        <is>
          <t>Impacto direto nos triglicerídeos</t>
        </is>
      </c>
      <c r="G36" t="inlineStr">
        <is>
          <t>X</t>
        </is>
      </c>
      <c r="H36" t="inlineStr">
        <is>
          <t>X</t>
        </is>
      </c>
      <c r="I36" t="inlineStr">
        <is>
          <t>X</t>
        </is>
      </c>
      <c r="J36" t="inlineStr">
        <is>
          <t>X</t>
        </is>
      </c>
    </row>
    <row r="37">
      <c r="A37" t="inlineStr">
        <is>
          <t>Doces industrializados</t>
        </is>
      </c>
      <c r="B37" t="inlineStr">
        <is>
          <t>Doces e Sobremesas</t>
        </is>
      </c>
      <c r="C37" t="inlineStr">
        <is>
          <t>Evitar</t>
        </is>
      </c>
      <c r="D37" t="inlineStr">
        <is>
          <t>-</t>
        </is>
      </c>
      <c r="E37" t="inlineStr">
        <is>
          <t>evitar</t>
        </is>
      </c>
      <c r="F37" t="inlineStr"/>
      <c r="G37" t="inlineStr"/>
      <c r="H37" t="inlineStr"/>
      <c r="I37" t="inlineStr">
        <is>
          <t>X</t>
        </is>
      </c>
      <c r="J37" t="inlineStr"/>
    </row>
    <row r="38">
      <c r="A38" t="inlineStr">
        <is>
          <t>Chocolate amargo (70%+)</t>
        </is>
      </c>
      <c r="B38" t="inlineStr">
        <is>
          <t>Doces e Sobremesas</t>
        </is>
      </c>
      <c r="C38" t="inlineStr">
        <is>
          <t>Moderar</t>
        </is>
      </c>
      <c r="D38" t="inlineStr">
        <is>
          <t>10 g</t>
        </is>
      </c>
      <c r="E38" t="inlineStr">
        <is>
          <t>2x/semana</t>
        </is>
      </c>
      <c r="F38" t="inlineStr">
        <is>
          <t>Sugestão gerada por IA — confirmar com nutricionista/cardiologista</t>
        </is>
      </c>
      <c r="G38" t="inlineStr"/>
      <c r="H38" t="inlineStr"/>
      <c r="I38" t="inlineStr">
        <is>
          <t>X</t>
        </is>
      </c>
      <c r="J38" t="inlineStr"/>
    </row>
    <row r="39">
      <c r="A39" t="inlineStr">
        <is>
          <t>Azeite de oliva extra virgem</t>
        </is>
      </c>
      <c r="B39" t="inlineStr">
        <is>
          <t>Gorduras e Temperos</t>
        </is>
      </c>
      <c r="C39" t="inlineStr">
        <is>
          <t>Liberado</t>
        </is>
      </c>
      <c r="D39" t="inlineStr">
        <is>
          <t>1-2 colheres de sopa</t>
        </is>
      </c>
      <c r="E39" t="inlineStr">
        <is>
          <t>1x/dia</t>
        </is>
      </c>
      <c r="F39" t="inlineStr"/>
      <c r="G39" t="inlineStr"/>
      <c r="H39" t="inlineStr">
        <is>
          <t>X</t>
        </is>
      </c>
      <c r="I39" t="inlineStr"/>
      <c r="J39" t="inlineStr">
        <is>
          <t>X</t>
        </is>
      </c>
    </row>
    <row r="40">
      <c r="A40" t="inlineStr">
        <is>
          <t>Manteiga</t>
        </is>
      </c>
      <c r="B40" t="inlineStr">
        <is>
          <t>Gorduras e Temperos</t>
        </is>
      </c>
      <c r="C40" t="inlineStr">
        <is>
          <t>Evitar</t>
        </is>
      </c>
      <c r="D40" t="inlineStr">
        <is>
          <t>-</t>
        </is>
      </c>
      <c r="E40" t="inlineStr">
        <is>
          <t>evitar</t>
        </is>
      </c>
      <c r="F40" t="inlineStr">
        <is>
          <t>Preferir azeite</t>
        </is>
      </c>
      <c r="G40" t="inlineStr">
        <is>
          <t>X</t>
        </is>
      </c>
      <c r="H40" t="inlineStr"/>
      <c r="I40" t="inlineStr"/>
      <c r="J40" t="inlineStr"/>
    </row>
    <row r="41">
      <c r="A41" t="inlineStr">
        <is>
          <t>Sal</t>
        </is>
      </c>
      <c r="B41" t="inlineStr">
        <is>
          <t>Gorduras e Temperos</t>
        </is>
      </c>
      <c r="C41" t="inlineStr">
        <is>
          <t>Moderar</t>
        </is>
      </c>
      <c r="D41" t="inlineStr">
        <is>
          <t>&lt; 5 g no total</t>
        </is>
      </c>
      <c r="E41" t="inlineStr">
        <is>
          <t>todos os dias</t>
        </is>
      </c>
      <c r="F41" t="inlineStr">
        <is>
          <t>Somar sal de cozinha + industrializados</t>
        </is>
      </c>
      <c r="G41" t="inlineStr"/>
      <c r="H41" t="inlineStr">
        <is>
          <t>X</t>
        </is>
      </c>
      <c r="I41" t="inlineStr"/>
      <c r="J41" t="inlineStr">
        <is>
          <t>X</t>
        </is>
      </c>
    </row>
    <row r="42">
      <c r="A42" t="inlineStr">
        <is>
          <t>Creme de tahine</t>
        </is>
      </c>
      <c r="B42" t="inlineStr">
        <is>
          <t>Gorduras e Temperos</t>
        </is>
      </c>
      <c r="C42" t="inlineStr">
        <is>
          <t>Liberado</t>
        </is>
      </c>
      <c r="D42" t="inlineStr">
        <is>
          <t>1-2 colheres de sopa (receita: 4 col. sopa de tahine, 1 col. sopa de limão, 1 col. sopa de azeite, sal e água)</t>
        </is>
      </c>
      <c r="E42" t="inlineStr">
        <is>
          <t>3x/semana</t>
        </is>
      </c>
      <c r="F42" t="inlineStr">
        <is>
          <t>Pasta de gergelim (tahine) + azeite: gorduras majoritariamente insaturadas, sem açúcar, boa fonte de cálcio/fibra — combina com o padrão de dieta mediterrânea recomendado. É calórico (rico em gordura), por isso porção moderada; controlar a quantidade de sal adicionado na receita. Sugestão gerada por IA — confirmar com nutricionista/cardiologista.</t>
        </is>
      </c>
      <c r="G42" t="inlineStr">
        <is>
          <t>X</t>
        </is>
      </c>
      <c r="H42" t="inlineStr">
        <is>
          <t>X</t>
        </is>
      </c>
      <c r="I42" t="inlineStr">
        <is>
          <t>X</t>
        </is>
      </c>
      <c r="J42" t="inlineStr">
        <is>
          <t>X</t>
        </is>
      </c>
    </row>
    <row r="43">
      <c r="A43" t="inlineStr">
        <is>
          <t>Sal light / substituto de sal (cloreto de potássio)</t>
        </is>
      </c>
      <c r="B43" t="inlineStr">
        <is>
          <t>Gorduras e Temperos</t>
        </is>
      </c>
      <c r="C43" t="inlineStr">
        <is>
          <t>Evitar</t>
        </is>
      </c>
      <c r="D43" t="inlineStr">
        <is>
          <t>-</t>
        </is>
      </c>
      <c r="E43" t="inlineStr">
        <is>
          <t>evitar</t>
        </is>
      </c>
      <c r="F43" t="inlineStr">
        <is>
          <t>Enalapril já tende a elevar o potássio; combinado com esse produto o risco de hipercalemia aumenta, ainda mais com a função renal pendente.</t>
        </is>
      </c>
      <c r="G43" t="inlineStr"/>
      <c r="H43" t="inlineStr">
        <is>
          <t>X</t>
        </is>
      </c>
      <c r="I43" t="inlineStr"/>
      <c r="J43" t="inlineStr">
        <is>
          <t>X</t>
        </is>
      </c>
    </row>
    <row r="44">
      <c r="A44" t="inlineStr">
        <is>
          <t>Ervas e temperos naturais</t>
        </is>
      </c>
      <c r="B44" t="inlineStr">
        <is>
          <t>Gorduras e Temperos</t>
        </is>
      </c>
      <c r="C44" t="inlineStr">
        <is>
          <t>Liberado</t>
        </is>
      </c>
      <c r="D44" t="inlineStr">
        <is>
          <t>à vontade</t>
        </is>
      </c>
      <c r="E44" t="inlineStr">
        <is>
          <t>todos os dias</t>
        </is>
      </c>
      <c r="F44" t="inlineStr"/>
      <c r="G44" t="inlineStr"/>
      <c r="H44" t="inlineStr">
        <is>
          <t>X</t>
        </is>
      </c>
      <c r="I44" t="inlineStr"/>
      <c r="J44" t="inlineStr">
        <is>
          <t>X</t>
        </is>
      </c>
    </row>
    <row r="45">
      <c r="A45" t="inlineStr">
        <is>
          <t>Vegetais e verduras em geral</t>
        </is>
      </c>
      <c r="B45" t="inlineStr">
        <is>
          <t>Vegetais e Verduras</t>
        </is>
      </c>
      <c r="C45" t="inlineStr">
        <is>
          <t>Liberado</t>
        </is>
      </c>
      <c r="D45" t="inlineStr">
        <is>
          <t>à vontade</t>
        </is>
      </c>
      <c r="E45" t="inlineStr">
        <is>
          <t>todos os dias</t>
        </is>
      </c>
      <c r="F45" t="inlineStr">
        <is>
          <t>Se entrar anticoagulante na medicação, revisar consumo de verde-escuros ricos em vitamina K</t>
        </is>
      </c>
      <c r="G45" t="inlineStr">
        <is>
          <t>X</t>
        </is>
      </c>
      <c r="H45" t="inlineStr">
        <is>
          <t>X</t>
        </is>
      </c>
      <c r="I45" t="inlineStr">
        <is>
          <t>X</t>
        </is>
      </c>
      <c r="J45" t="inlineStr">
        <is>
          <t>X</t>
        </is>
      </c>
    </row>
    <row r="46">
      <c r="A46" t="inlineStr">
        <is>
          <t>Brócolis</t>
        </is>
      </c>
      <c r="B46" t="inlineStr">
        <is>
          <t>Vegetais e Verduras</t>
        </is>
      </c>
      <c r="C46" t="inlineStr">
        <is>
          <t>Liberado</t>
        </is>
      </c>
      <c r="D46" t="inlineStr">
        <is>
          <t>à vontade</t>
        </is>
      </c>
      <c r="E46" t="inlineStr">
        <is>
          <t>todos os dias</t>
        </is>
      </c>
      <c r="F46" t="inlineStr">
        <is>
          <t>Rico em fibras; combina bem com o padrão de dieta cardioprotetora recomendado.</t>
        </is>
      </c>
      <c r="G46" t="inlineStr"/>
      <c r="H46" t="inlineStr">
        <is>
          <t>X</t>
        </is>
      </c>
      <c r="I46" t="inlineStr"/>
      <c r="J46" t="inlineStr">
        <is>
          <t>X</t>
        </is>
      </c>
    </row>
    <row r="47">
      <c r="A47" t="inlineStr">
        <is>
          <t>Couve</t>
        </is>
      </c>
      <c r="B47" t="inlineStr">
        <is>
          <t>Vegetais e Verduras</t>
        </is>
      </c>
      <c r="C47" t="inlineStr">
        <is>
          <t>Liberado</t>
        </is>
      </c>
      <c r="D47" t="inlineStr">
        <is>
          <t>à vontade</t>
        </is>
      </c>
      <c r="E47" t="inlineStr">
        <is>
          <t>todos os dias</t>
        </is>
      </c>
      <c r="F47" t="inlineStr">
        <is>
          <t>Folha verde-escura rica em vitamina K — sem impacto hoje (nenhum anticoagulante em uso), mas vale reavaliar se isso mudar no tratamento.</t>
        </is>
      </c>
      <c r="G47" t="inlineStr"/>
      <c r="H47" t="inlineStr">
        <is>
          <t>X</t>
        </is>
      </c>
      <c r="I47" t="inlineStr"/>
      <c r="J47" t="inlineStr">
        <is>
          <t>X</t>
        </is>
      </c>
    </row>
    <row r="48">
      <c r="A48" t="inlineStr">
        <is>
          <t>Espinafre</t>
        </is>
      </c>
      <c r="B48" t="inlineStr">
        <is>
          <t>Vegetais e Verduras</t>
        </is>
      </c>
      <c r="C48" t="inlineStr">
        <is>
          <t>Liberado</t>
        </is>
      </c>
      <c r="D48" t="inlineStr">
        <is>
          <t>à vontade</t>
        </is>
      </c>
      <c r="E48" t="inlineStr">
        <is>
          <t>todos os dias</t>
        </is>
      </c>
      <c r="F48" t="inlineStr">
        <is>
          <t>Folha verde-escura rica em vitamina K — sem impacto hoje (nenhum anticoagulante em uso), mas vale reavaliar se isso mudar no tratamento.</t>
        </is>
      </c>
      <c r="G48" t="inlineStr"/>
      <c r="H48" t="inlineStr">
        <is>
          <t>X</t>
        </is>
      </c>
      <c r="I48" t="inlineStr"/>
      <c r="J48" t="inlineStr">
        <is>
          <t>X</t>
        </is>
      </c>
    </row>
    <row r="49">
      <c r="A49" t="inlineStr">
        <is>
          <t>Tomate</t>
        </is>
      </c>
      <c r="B49" t="inlineStr">
        <is>
          <t>Vegetais e Verduras</t>
        </is>
      </c>
      <c r="C49" t="inlineStr">
        <is>
          <t>Liberado</t>
        </is>
      </c>
      <c r="D49" t="inlineStr">
        <is>
          <t>à vontade</t>
        </is>
      </c>
      <c r="E49" t="inlineStr">
        <is>
          <t>todos os dias</t>
        </is>
      </c>
      <c r="F49" t="inlineStr"/>
      <c r="G49" t="inlineStr">
        <is>
          <t>X</t>
        </is>
      </c>
      <c r="H49" t="inlineStr">
        <is>
          <t>X</t>
        </is>
      </c>
      <c r="I49" t="inlineStr">
        <is>
          <t>X</t>
        </is>
      </c>
      <c r="J49" t="inlineStr">
        <is>
          <t>X</t>
        </is>
      </c>
    </row>
    <row r="50">
      <c r="A50" t="inlineStr">
        <is>
          <t>Cenoura</t>
        </is>
      </c>
      <c r="B50" t="inlineStr">
        <is>
          <t>Vegetais e Verduras</t>
        </is>
      </c>
      <c r="C50" t="inlineStr">
        <is>
          <t>Liberado</t>
        </is>
      </c>
      <c r="D50" t="inlineStr">
        <is>
          <t>à vontade</t>
        </is>
      </c>
      <c r="E50" t="inlineStr">
        <is>
          <t>todos os dias</t>
        </is>
      </c>
      <c r="F50" t="inlineStr"/>
      <c r="G50" t="inlineStr"/>
      <c r="H50" t="inlineStr">
        <is>
          <t>X</t>
        </is>
      </c>
      <c r="I50" t="inlineStr">
        <is>
          <t>X</t>
        </is>
      </c>
      <c r="J50" t="inlineStr">
        <is>
          <t>X</t>
        </is>
      </c>
    </row>
    <row r="51">
      <c r="A51" t="inlineStr">
        <is>
          <t>Abobrinha</t>
        </is>
      </c>
      <c r="B51" t="inlineStr">
        <is>
          <t>Vegetais e Verduras</t>
        </is>
      </c>
      <c r="C51" t="inlineStr">
        <is>
          <t>Liberado</t>
        </is>
      </c>
      <c r="D51" t="inlineStr">
        <is>
          <t>à vontade</t>
        </is>
      </c>
      <c r="E51" t="inlineStr">
        <is>
          <t>todos os dias</t>
        </is>
      </c>
      <c r="F51" t="inlineStr"/>
      <c r="G51" t="inlineStr"/>
      <c r="H51" t="inlineStr">
        <is>
          <t>X</t>
        </is>
      </c>
      <c r="I51" t="inlineStr"/>
      <c r="J51" t="inlineStr">
        <is>
          <t>X</t>
        </is>
      </c>
    </row>
    <row r="52">
      <c r="A52" t="inlineStr">
        <is>
          <t>Beterraba</t>
        </is>
      </c>
      <c r="B52" t="inlineStr">
        <is>
          <t>Vegetais e Verduras</t>
        </is>
      </c>
      <c r="C52" t="inlineStr">
        <is>
          <t>Liberado</t>
        </is>
      </c>
      <c r="D52" t="inlineStr">
        <is>
          <t>à vontade</t>
        </is>
      </c>
      <c r="E52" t="inlineStr">
        <is>
          <t>3x/semana</t>
        </is>
      </c>
      <c r="F52" t="inlineStr"/>
      <c r="G52" t="inlineStr"/>
      <c r="H52" t="inlineStr">
        <is>
          <t>X</t>
        </is>
      </c>
      <c r="I52" t="inlineStr"/>
      <c r="J52" t="inlineStr">
        <is>
          <t>X</t>
        </is>
      </c>
    </row>
    <row r="53">
      <c r="A53" t="inlineStr">
        <is>
          <t>Alface e folhas verdes (rúcula, agrião)</t>
        </is>
      </c>
      <c r="B53" t="inlineStr">
        <is>
          <t>Vegetais e Verduras</t>
        </is>
      </c>
      <c r="C53" t="inlineStr">
        <is>
          <t>Liberado</t>
        </is>
      </c>
      <c r="D53" t="inlineStr">
        <is>
          <t>à vontade</t>
        </is>
      </c>
      <c r="E53" t="inlineStr">
        <is>
          <t>todos os dias</t>
        </is>
      </c>
      <c r="F53" t="inlineStr"/>
      <c r="G53" t="inlineStr"/>
      <c r="H53" t="inlineStr">
        <is>
          <t>X</t>
        </is>
      </c>
      <c r="I53" t="inlineStr">
        <is>
          <t>X</t>
        </is>
      </c>
      <c r="J53" t="inlineStr">
        <is>
          <t>X</t>
        </is>
      </c>
    </row>
    <row r="54">
      <c r="A54" t="inlineStr">
        <is>
          <t>Pepino</t>
        </is>
      </c>
      <c r="B54" t="inlineStr">
        <is>
          <t>Vegetais e Verduras</t>
        </is>
      </c>
      <c r="C54" t="inlineStr">
        <is>
          <t>Liberado</t>
        </is>
      </c>
      <c r="D54" t="inlineStr">
        <is>
          <t>à vontade</t>
        </is>
      </c>
      <c r="E54" t="inlineStr">
        <is>
          <t>todos os dias</t>
        </is>
      </c>
      <c r="F54" t="inlineStr"/>
      <c r="G54" t="inlineStr"/>
      <c r="H54" t="inlineStr">
        <is>
          <t>X</t>
        </is>
      </c>
      <c r="I54" t="inlineStr">
        <is>
          <t>X</t>
        </is>
      </c>
      <c r="J54" t="inlineStr">
        <is>
          <t>X</t>
        </is>
      </c>
    </row>
    <row r="55">
      <c r="A55" t="inlineStr">
        <is>
          <t>Berinjela</t>
        </is>
      </c>
      <c r="B55" t="inlineStr">
        <is>
          <t>Vegetais e Verduras</t>
        </is>
      </c>
      <c r="C55" t="inlineStr">
        <is>
          <t>Liberado</t>
        </is>
      </c>
      <c r="D55" t="inlineStr">
        <is>
          <t>à vontade</t>
        </is>
      </c>
      <c r="E55" t="inlineStr">
        <is>
          <t>3x/semana</t>
        </is>
      </c>
      <c r="F55" t="inlineStr"/>
      <c r="G55" t="inlineStr"/>
      <c r="H55" t="inlineStr">
        <is>
          <t>X</t>
        </is>
      </c>
      <c r="I55" t="inlineStr"/>
      <c r="J55" t="inlineStr">
        <is>
          <t>X</t>
        </is>
      </c>
    </row>
    <row r="56">
      <c r="A56" t="inlineStr">
        <is>
          <t>Pimentão</t>
        </is>
      </c>
      <c r="B56" t="inlineStr">
        <is>
          <t>Vegetais e Verduras</t>
        </is>
      </c>
      <c r="C56" t="inlineStr">
        <is>
          <t>Liberado</t>
        </is>
      </c>
      <c r="D56" t="inlineStr">
        <is>
          <t>à vontade</t>
        </is>
      </c>
      <c r="E56" t="inlineStr">
        <is>
          <t>todos os dias</t>
        </is>
      </c>
      <c r="F56" t="inlineStr"/>
      <c r="G56" t="inlineStr"/>
      <c r="H56" t="inlineStr">
        <is>
          <t>X</t>
        </is>
      </c>
      <c r="I56" t="inlineStr">
        <is>
          <t>X</t>
        </is>
      </c>
      <c r="J56" t="inlineStr">
        <is>
          <t>X</t>
        </is>
      </c>
    </row>
    <row r="57">
      <c r="A57" t="inlineStr">
        <is>
          <t>Repolho</t>
        </is>
      </c>
      <c r="B57" t="inlineStr">
        <is>
          <t>Vegetais e Verduras</t>
        </is>
      </c>
      <c r="C57" t="inlineStr">
        <is>
          <t>Liberado</t>
        </is>
      </c>
      <c r="D57" t="inlineStr">
        <is>
          <t>à vontade</t>
        </is>
      </c>
      <c r="E57" t="inlineStr">
        <is>
          <t>todos os dias</t>
        </is>
      </c>
      <c r="F57" t="inlineStr"/>
      <c r="G57" t="inlineStr"/>
      <c r="H57" t="inlineStr">
        <is>
          <t>X</t>
        </is>
      </c>
      <c r="I57" t="inlineStr"/>
      <c r="J57"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2026-09-13T05:29:39Z</dcterms:created>
  <dcterms:modified xsi:type="dcterms:W3CDTF">2026-09-13T05:29:39Z</dcterms:modified>
</cp:coreProperties>
</file>